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91880\Desktop\STUDY MATERIAL DS\Advance Excel\"/>
    </mc:Choice>
  </mc:AlternateContent>
  <xr:revisionPtr revIDLastSave="0" documentId="13_ncr:1_{7D30CCA4-40AC-40C4-9A01-F2769FEF09B9}" xr6:coauthVersionLast="47" xr6:coauthVersionMax="47" xr10:uidLastSave="{00000000-0000-0000-0000-000000000000}"/>
  <bookViews>
    <workbookView xWindow="-108" yWindow="-108" windowWidth="23256" windowHeight="12456" firstSheet="5" activeTab="12" xr2:uid="{00000000-000D-0000-FFFF-FFFF00000000}"/>
  </bookViews>
  <sheets>
    <sheet name="Data" sheetId="1" r:id="rId1"/>
    <sheet name="Q8" sheetId="9" r:id="rId2"/>
    <sheet name="Q9" sheetId="10" r:id="rId3"/>
    <sheet name="Q7" sheetId="8" r:id="rId4"/>
    <sheet name="Q6" sheetId="7" r:id="rId5"/>
    <sheet name="Q3" sheetId="4" r:id="rId6"/>
    <sheet name="Q2" sheetId="3" r:id="rId7"/>
    <sheet name="Q1" sheetId="2" r:id="rId8"/>
    <sheet name="Q4" sheetId="5" r:id="rId9"/>
    <sheet name="Q5" sheetId="6" r:id="rId10"/>
    <sheet name="Q10" sheetId="11" r:id="rId11"/>
    <sheet name="Pivote Tables" sheetId="12" r:id="rId12"/>
    <sheet name="Dashboard" sheetId="14" r:id="rId13"/>
  </sheets>
  <definedNames>
    <definedName name="_xlnm._FilterDatabase" localSheetId="0" hidden="1">Data!$C$11:$G$11</definedName>
    <definedName name="_xlchart.v1.0" hidden="1">'Q6'!$B$4:$B$303</definedName>
    <definedName name="_xlchart.v1.1" hidden="1">'Q6'!$D$4:$D$303</definedName>
    <definedName name="_xlcn.WorksheetConnection_Practise_Excel.xlsxData1" hidden="1">Data[]</definedName>
    <definedName name="Slicer_Geography">#N/A</definedName>
    <definedName name="Slicer_Geography1">#N/A</definedName>
    <definedName name="Slicer_Sales_Person">#N/A</definedName>
    <definedName name="Slicer_Sales_Person1">#N/A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s>
  <extLst>
    <ext xmlns:x14="http://schemas.microsoft.com/office/spreadsheetml/2009/9/main" uri="{876F7934-8845-4945-9796-88D515C7AA90}">
      <x14:pivotCaches>
        <pivotCache cacheId="8" r:id="rId22"/>
        <pivotCache cacheId="9"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Practise_Excel.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1" l="1"/>
  <c r="E6" i="11"/>
  <c r="E5" i="11"/>
  <c r="E7" i="11"/>
  <c r="E8" i="11"/>
  <c r="E9" i="11"/>
  <c r="E10" i="11"/>
  <c r="E11" i="11"/>
  <c r="E12" i="11"/>
  <c r="E13" i="11"/>
  <c r="E14" i="11"/>
  <c r="E15" i="11"/>
  <c r="E16" i="11"/>
  <c r="E17" i="11"/>
  <c r="E18" i="11"/>
  <c r="E19" i="11"/>
  <c r="E20" i="11"/>
  <c r="E21" i="11"/>
  <c r="E22" i="11"/>
  <c r="E23" i="11"/>
  <c r="E24" i="11"/>
  <c r="E25" i="11"/>
  <c r="D10" i="10"/>
  <c r="C10" i="10"/>
  <c r="H14" i="10"/>
  <c r="H13" i="10"/>
  <c r="H12" i="10"/>
  <c r="H11" i="10"/>
  <c r="H10" i="10"/>
  <c r="H9" i="10"/>
  <c r="H8" i="10"/>
  <c r="H7" i="10"/>
  <c r="H6" i="10"/>
  <c r="H5" i="10"/>
  <c r="H4" i="10"/>
  <c r="G14" i="10"/>
  <c r="I14" i="10" s="1"/>
  <c r="G13" i="10"/>
  <c r="I13" i="10" s="1"/>
  <c r="G12" i="10"/>
  <c r="I12" i="10" s="1"/>
  <c r="G11" i="10"/>
  <c r="I11" i="10" s="1"/>
  <c r="G10" i="10"/>
  <c r="I10" i="10" s="1"/>
  <c r="G9" i="10"/>
  <c r="I9" i="10" s="1"/>
  <c r="G4" i="10"/>
  <c r="I4" i="10" s="1"/>
  <c r="G8" i="10"/>
  <c r="I8" i="10" s="1"/>
  <c r="G7" i="10"/>
  <c r="I7" i="10" s="1"/>
  <c r="G6" i="10"/>
  <c r="I6" i="10" s="1"/>
  <c r="G5" i="10"/>
  <c r="I5" i="10" s="1"/>
  <c r="D9" i="10"/>
  <c r="C9" i="10"/>
  <c r="C6" i="10"/>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B4" i="4"/>
  <c r="B5" i="4"/>
  <c r="B6" i="4"/>
  <c r="B7" i="4"/>
  <c r="B8" i="4"/>
  <c r="B3" i="4"/>
  <c r="D6" i="2"/>
  <c r="C4" i="2"/>
  <c r="C5" i="2"/>
  <c r="C6" i="2"/>
  <c r="C3" i="2"/>
  <c r="C10" i="2"/>
  <c r="C11" i="2"/>
  <c r="C13" i="2"/>
  <c r="D11" i="2"/>
  <c r="D10" i="2"/>
  <c r="D5" i="2"/>
  <c r="D4" i="2"/>
  <c r="D3" i="2"/>
  <c r="C11" i="10" l="1"/>
  <c r="C7" i="2"/>
  <c r="D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B12EAA-57F1-4FD1-995D-F3713F9161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5F7449-47A8-43C7-A114-D27ECD0A5595}" name="WorksheetConnection_Practise_Excel.xlsx!Data" type="102" refreshedVersion="8" minRefreshableVersion="5">
    <extLst>
      <ext xmlns:x15="http://schemas.microsoft.com/office/spreadsheetml/2010/11/main" uri="{DE250136-89BD-433C-8126-D09CA5730AF9}">
        <x15:connection id="Data" autoDelete="1">
          <x15:rangePr sourceName="_xlcn.WorksheetConnection_Practise_Excel.xlsxData1"/>
        </x15:connection>
      </ext>
    </extLst>
  </connection>
</connections>
</file>

<file path=xl/sharedStrings.xml><?xml version="1.0" encoding="utf-8"?>
<sst xmlns="http://schemas.openxmlformats.org/spreadsheetml/2006/main" count="2987" uniqueCount="94">
  <si>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</si>
  <si>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</si>
  <si>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</si>
  <si>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</si>
  <si>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</si>
  <si>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</si>
  <si>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</si>
  <si>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</si>
  <si>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</si>
  <si>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</si>
  <si>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</si>
  <si>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</si>
  <si>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</si>
  <si>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</si>
  <si>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</si>
  <si>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</si>
  <si>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</si>
  <si>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</si>
  <si>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</si>
  <si>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</si>
  <si>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</si>
  <si>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</si>
  <si>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</si>
  <si>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</si>
  <si>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</si>
  <si>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</si>
  <si>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</si>
  <si>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</si>
  <si>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</si>
  <si>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</si>
  <si>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</si>
  <si>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</si>
  <si>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</si>
  <si>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</si>
  <si>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</si>
  <si>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</si>
  <si>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</si>
  <si>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</si>
  <si>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</si>
  <si>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</si>
  <si>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</si>
  <si>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</si>
  <si>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</si>
  <si>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</si>
  <si>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</si>
  <si>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</si>
  <si>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</si>
  <si>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</si>
  <si>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</si>
  <si>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</si>
  <si>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</si>
  <si>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</si>
  <si>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</si>
  <si>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</si>
  <si>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</si>
  <si>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</si>
  <si>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Quick Statistics</t>
  </si>
  <si>
    <t>Average</t>
  </si>
  <si>
    <t>Unit</t>
  </si>
  <si>
    <t>Median</t>
  </si>
  <si>
    <t>Minimum</t>
  </si>
  <si>
    <t>Maximum</t>
  </si>
  <si>
    <t>Range</t>
  </si>
  <si>
    <t>25Percentile</t>
  </si>
  <si>
    <t>75percentile</t>
  </si>
  <si>
    <t>Count Of Product</t>
  </si>
  <si>
    <t>Sales By Country (With Formulas)</t>
  </si>
  <si>
    <t>Country</t>
  </si>
  <si>
    <t>Row Labels</t>
  </si>
  <si>
    <t>Grand Total</t>
  </si>
  <si>
    <t>Sum of Amount</t>
  </si>
  <si>
    <t>Sum of Units</t>
  </si>
  <si>
    <t xml:space="preserve">                                </t>
  </si>
  <si>
    <t>What is pivot table?</t>
  </si>
  <si>
    <t>Sales Per Unit</t>
  </si>
  <si>
    <t>Top Sales By Country</t>
  </si>
  <si>
    <t>Bottom Sales By Country</t>
  </si>
  <si>
    <t>Cost Per Unit</t>
  </si>
  <si>
    <t>Cost</t>
  </si>
  <si>
    <t>Profit</t>
  </si>
  <si>
    <t>Select a Country</t>
  </si>
  <si>
    <t>Quick Summary</t>
  </si>
  <si>
    <t>No.Of Transactions</t>
  </si>
  <si>
    <t>Sales</t>
  </si>
  <si>
    <t>By Sales Person</t>
  </si>
  <si>
    <t xml:space="preserve">Amount </t>
  </si>
  <si>
    <t>Decision</t>
  </si>
  <si>
    <t>ashj</t>
  </si>
  <si>
    <t>Average of Units</t>
  </si>
  <si>
    <t>Count of Product</t>
  </si>
  <si>
    <t>Count of Geography</t>
  </si>
  <si>
    <t>Column Labels</t>
  </si>
  <si>
    <t>Total Sum of Amount</t>
  </si>
  <si>
    <t>Total Count of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</si>
</sst>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6" formatCode="&quot;$&quot;#,##0_);[Red]\(&quot;$&quot;#,##0\)"/>
    <numFmt numFmtId="8" formatCode="&quot;$&quot;#,##0.00_);[Red]\(&quot;$&quot;#,##0.00\)"/>
    <numFmt numFmtId="44" formatCode="_(&quot;$&quot;* #,##0.00_);_(&quot;$&quot;* \(#,##0.00\);_(&quot;$&quot;* &quot;-&quot;??_);_(@_)"/>
    <numFmt numFmtId="43" formatCode="_(* #,##0.00_);_(* \(#,##0.00\);_(* &quot;-&quot;??_);_(@_)"/>
    <numFmt numFmtId="164" formatCode="_([$$-409]* #,##0.00_);_([$$-409]* \(#,##0.00\);_([$$-409]* &quot;-&quot;??_);_(@_)"/>
    <numFmt numFmtId="165" formatCode="&quot;$&quot;#,##0.00"/>
    <numFmt numFmtId="166" formatCode="_([$$-409]* #,##0_);_([$$-409]* \(#,##0\);_([$$-409]* &quot;-&quot;??_);_(@_)"/>
    <numFmt numFmtId="167" formatCode="_(* #,##0_);_(* \(#,##0\);_(* &quot;-&quot;??_);_(@_)"/>
    <numFmt numFmtId="168" formatCode="\$#,##0.0;\(\$#,##0.0\);\$#,##0.0"/>
    <numFmt numFmtId="169" formatCode="\$#,##0;\(\$#,##0\);\$#,##0"/>
  </numFmts>
  <fonts count="17"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b/>
      <sz val="18"/>
      <color theme="0"/>
      <name val="Times New Roman"/>
      <family val="1"/>
    </font>
    <font>
      <b/>
      <sz val="18"/>
      <color theme="1"/>
      <name val="Calibri"/>
      <family val="2"/>
      <scheme val="minor"/>
    </font>
    <font>
      <b/>
      <sz val="20"/>
      <color theme="1"/>
      <name val="Calibri"/>
      <family val="2"/>
      <scheme val="minor"/>
    </font>
    <font>
      <sz val="18"/>
      <color theme="1"/>
      <name val="Calibri"/>
      <family val="2"/>
      <scheme val="minor"/>
    </font>
    <font>
      <sz val="20"/>
      <color theme="1"/>
      <name val="Calibri"/>
      <family val="2"/>
      <scheme val="minor"/>
    </font>
    <font>
      <b/>
      <sz val="20"/>
      <color theme="0"/>
      <name val="Times New Roman"/>
      <family val="1"/>
    </font>
    <font>
      <b/>
      <sz val="12"/>
      <color theme="1"/>
      <name val="Times New Roman"/>
      <family val="1"/>
    </font>
    <font>
      <b/>
      <sz val="11"/>
      <color theme="1"/>
      <name val="Times New Roman"/>
      <family val="1"/>
    </font>
    <font>
      <sz val="18"/>
      <color theme="1"/>
      <name val="Times New Roman"/>
      <family val="1"/>
    </font>
    <font>
      <sz val="14"/>
      <color rgb="FF0070C0"/>
      <name val="Calibri"/>
      <family val="2"/>
      <scheme val="minor"/>
    </font>
    <font>
      <b/>
      <sz val="14"/>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rgb="FF002060"/>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4" tint="0.79998168889431442"/>
        <bgColor indexed="64"/>
      </patternFill>
    </fill>
  </fills>
  <borders count="12">
    <border>
      <left/>
      <right/>
      <top/>
      <bottom/>
      <diagonal/>
    </border>
    <border>
      <left/>
      <right/>
      <top style="dotted">
        <color theme="0" tint="-0.24994659260841701"/>
      </top>
      <bottom style="dotted">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indexed="64"/>
      </top>
      <bottom style="thin">
        <color indexed="64"/>
      </bottom>
      <diagonal/>
    </border>
  </borders>
  <cellStyleXfs count="3">
    <xf numFmtId="0" fontId="0" fillId="0" borderId="0"/>
    <xf numFmtId="44" fontId="3" fillId="0" borderId="0" applyFont="0" applyFill="0" applyBorder="0" applyAlignment="0" applyProtection="0"/>
    <xf numFmtId="43" fontId="3" fillId="0" borderId="0" applyFont="0" applyFill="0" applyBorder="0" applyAlignment="0" applyProtection="0"/>
  </cellStyleXfs>
  <cellXfs count="8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8" fontId="0" fillId="0" borderId="0" xfId="0" applyNumberFormat="1"/>
    <xf numFmtId="164" fontId="0" fillId="0" borderId="0" xfId="0" applyNumberFormat="1"/>
    <xf numFmtId="44" fontId="0" fillId="0" borderId="0" xfId="1" applyFont="1"/>
    <xf numFmtId="0" fontId="5" fillId="0" borderId="2" xfId="0" applyFont="1" applyBorder="1" applyAlignment="1">
      <alignment horizontal="center"/>
    </xf>
    <xf numFmtId="165" fontId="4" fillId="0" borderId="2" xfId="0" applyNumberFormat="1" applyFont="1" applyBorder="1" applyAlignment="1">
      <alignment horizontal="center"/>
    </xf>
    <xf numFmtId="0" fontId="4" fillId="0" borderId="2" xfId="0" applyFont="1" applyBorder="1" applyAlignment="1">
      <alignment horizontal="center"/>
    </xf>
    <xf numFmtId="44" fontId="4" fillId="0" borderId="2" xfId="1" applyFont="1" applyBorder="1" applyAlignment="1">
      <alignment horizontal="center"/>
    </xf>
    <xf numFmtId="0" fontId="5" fillId="5" borderId="2" xfId="0" applyFont="1" applyFill="1" applyBorder="1"/>
    <xf numFmtId="164" fontId="4" fillId="0" borderId="2" xfId="0" applyNumberFormat="1" applyFont="1" applyBorder="1" applyAlignment="1">
      <alignment horizontal="center"/>
    </xf>
    <xf numFmtId="0" fontId="2" fillId="0" borderId="0" xfId="0" applyFont="1" applyAlignment="1">
      <alignment horizontal="center"/>
    </xf>
    <xf numFmtId="0" fontId="0" fillId="0" borderId="0" xfId="0" applyAlignment="1">
      <alignment horizontal="right"/>
    </xf>
    <xf numFmtId="164" fontId="0" fillId="0" borderId="0" xfId="0" applyNumberFormat="1" applyAlignment="1">
      <alignment horizontal="right"/>
    </xf>
    <xf numFmtId="165" fontId="0" fillId="0" borderId="0" xfId="0" applyNumberFormat="1" applyAlignment="1">
      <alignment horizontal="right"/>
    </xf>
    <xf numFmtId="0" fontId="6" fillId="4" borderId="0" xfId="0" applyFont="1" applyFill="1" applyAlignment="1">
      <alignment horizontal="center"/>
    </xf>
    <xf numFmtId="0" fontId="2" fillId="7" borderId="2" xfId="0" applyFont="1" applyFill="1" applyBorder="1" applyAlignment="1">
      <alignment horizontal="center"/>
    </xf>
    <xf numFmtId="0" fontId="0" fillId="6" borderId="2" xfId="0" applyFill="1" applyBorder="1"/>
    <xf numFmtId="166" fontId="0" fillId="0" borderId="2" xfId="0" applyNumberFormat="1" applyBorder="1"/>
    <xf numFmtId="0" fontId="0" fillId="0" borderId="2" xfId="0" applyBorder="1"/>
    <xf numFmtId="167" fontId="0" fillId="0" borderId="2" xfId="2" applyNumberFormat="1" applyFont="1" applyBorder="1"/>
    <xf numFmtId="0" fontId="0" fillId="0" borderId="0" xfId="0" pivotButton="1"/>
    <xf numFmtId="0" fontId="0" fillId="0" borderId="0" xfId="0" applyAlignment="1">
      <alignment horizontal="left"/>
    </xf>
    <xf numFmtId="166" fontId="0" fillId="0" borderId="0" xfId="0" applyNumberFormat="1"/>
    <xf numFmtId="168" fontId="0" fillId="0" borderId="0" xfId="0" applyNumberFormat="1"/>
    <xf numFmtId="0" fontId="0" fillId="0" borderId="0" xfId="0" applyAlignment="1">
      <alignment horizontal="left" indent="1"/>
    </xf>
    <xf numFmtId="169" fontId="0" fillId="0" borderId="0" xfId="0" applyNumberFormat="1"/>
    <xf numFmtId="0" fontId="4" fillId="0" borderId="2" xfId="0" applyFont="1" applyBorder="1"/>
    <xf numFmtId="0" fontId="4" fillId="0" borderId="0" xfId="0" applyFont="1"/>
    <xf numFmtId="0" fontId="16" fillId="8" borderId="0" xfId="0" applyFont="1" applyFill="1"/>
    <xf numFmtId="0" fontId="4" fillId="6" borderId="9" xfId="0" applyFont="1" applyFill="1" applyBorder="1"/>
    <xf numFmtId="0" fontId="4" fillId="0" borderId="0" xfId="0" applyFont="1" applyAlignment="1">
      <alignment horizontal="center"/>
    </xf>
    <xf numFmtId="0" fontId="4" fillId="0" borderId="9" xfId="0" applyFont="1" applyBorder="1"/>
    <xf numFmtId="0" fontId="4" fillId="6" borderId="10" xfId="0" applyFont="1" applyFill="1" applyBorder="1"/>
    <xf numFmtId="0" fontId="4" fillId="0" borderId="10" xfId="0" applyFont="1" applyBorder="1"/>
    <xf numFmtId="0" fontId="4" fillId="9" borderId="2" xfId="0" applyFont="1" applyFill="1" applyBorder="1"/>
    <xf numFmtId="0" fontId="2" fillId="10" borderId="0" xfId="0" applyFont="1" applyFill="1" applyAlignment="1">
      <alignment horizontal="center"/>
    </xf>
    <xf numFmtId="0" fontId="0" fillId="0" borderId="0" xfId="0" applyAlignment="1">
      <alignment horizontal="center"/>
    </xf>
    <xf numFmtId="10" fontId="0" fillId="0" borderId="0" xfId="0" applyNumberFormat="1"/>
    <xf numFmtId="0" fontId="6" fillId="4" borderId="0" xfId="0" applyFont="1" applyFill="1" applyAlignment="1">
      <alignment horizontal="center"/>
    </xf>
    <xf numFmtId="0" fontId="14" fillId="4" borderId="0" xfId="0" applyFont="1" applyFill="1" applyAlignment="1">
      <alignment horizontal="center"/>
    </xf>
    <xf numFmtId="0" fontId="15" fillId="0" borderId="8" xfId="0" applyFont="1" applyBorder="1" applyAlignment="1">
      <alignment horizontal="center"/>
    </xf>
    <xf numFmtId="0" fontId="15" fillId="0" borderId="7" xfId="0" applyFont="1" applyBorder="1" applyAlignment="1">
      <alignment horizontal="center"/>
    </xf>
    <xf numFmtId="0" fontId="16" fillId="8" borderId="2" xfId="0" applyFont="1" applyFill="1" applyBorder="1" applyAlignment="1">
      <alignment horizontal="center"/>
    </xf>
    <xf numFmtId="0" fontId="15" fillId="8" borderId="2" xfId="0" applyFont="1" applyFill="1" applyBorder="1" applyAlignment="1">
      <alignment horizontal="center"/>
    </xf>
    <xf numFmtId="0" fontId="4" fillId="0" borderId="8" xfId="0" applyFont="1" applyBorder="1" applyAlignment="1">
      <alignment horizontal="center"/>
    </xf>
    <xf numFmtId="0" fontId="4" fillId="0" borderId="7" xfId="0" applyFont="1" applyBorder="1" applyAlignment="1">
      <alignment horizontal="center"/>
    </xf>
    <xf numFmtId="0" fontId="0" fillId="0" borderId="11" xfId="0" applyBorder="1" applyAlignment="1">
      <alignment horizontal="center"/>
    </xf>
    <xf numFmtId="0" fontId="16" fillId="9" borderId="2" xfId="0" applyFont="1" applyFill="1" applyBorder="1" applyAlignment="1">
      <alignment horizontal="left"/>
    </xf>
    <xf numFmtId="0" fontId="15" fillId="9" borderId="2" xfId="0" applyFont="1" applyFill="1" applyBorder="1" applyAlignment="1">
      <alignment horizontal="left"/>
    </xf>
    <xf numFmtId="0" fontId="15" fillId="0" borderId="2" xfId="0" applyFont="1" applyBorder="1" applyAlignment="1">
      <alignment horizontal="left"/>
    </xf>
    <xf numFmtId="0" fontId="4" fillId="0" borderId="0" xfId="0" applyFont="1" applyAlignment="1">
      <alignment horizontal="center"/>
    </xf>
    <xf numFmtId="0" fontId="11" fillId="4" borderId="0" xfId="0" applyFont="1" applyFill="1" applyAlignment="1">
      <alignment horizontal="center"/>
    </xf>
    <xf numFmtId="0" fontId="10" fillId="4" borderId="0" xfId="0" applyFont="1" applyFill="1" applyAlignment="1">
      <alignment horizontal="center"/>
    </xf>
    <xf numFmtId="0" fontId="12" fillId="8" borderId="0" xfId="0" applyFont="1" applyFill="1" applyAlignment="1">
      <alignment horizontal="center"/>
    </xf>
    <xf numFmtId="0" fontId="13" fillId="8" borderId="0" xfId="0" applyFont="1" applyFill="1" applyAlignment="1">
      <alignment horizontal="center"/>
    </xf>
    <xf numFmtId="0" fontId="0" fillId="8" borderId="0" xfId="0" applyFill="1" applyAlignment="1">
      <alignment horizontal="center"/>
    </xf>
    <xf numFmtId="0" fontId="9" fillId="4" borderId="0" xfId="0" applyFont="1" applyFill="1" applyAlignment="1">
      <alignment horizontal="center"/>
    </xf>
    <xf numFmtId="0" fontId="8" fillId="4" borderId="0" xfId="0" applyFont="1" applyFill="1" applyAlignment="1">
      <alignment horizontal="center"/>
    </xf>
    <xf numFmtId="0" fontId="5" fillId="5" borderId="8" xfId="0" applyFont="1" applyFill="1" applyBorder="1" applyAlignment="1">
      <alignment horizontal="center"/>
    </xf>
    <xf numFmtId="0" fontId="5" fillId="5" borderId="7" xfId="0" applyFont="1" applyFill="1" applyBorder="1" applyAlignment="1">
      <alignment horizontal="center"/>
    </xf>
    <xf numFmtId="0" fontId="7" fillId="0" borderId="0" xfId="0" applyFont="1" applyAlignment="1">
      <alignment horizontal="center"/>
    </xf>
    <xf numFmtId="0" fontId="4" fillId="5" borderId="8" xfId="0" applyFont="1" applyFill="1" applyBorder="1" applyAlignment="1">
      <alignment horizontal="center"/>
    </xf>
    <xf numFmtId="0" fontId="4" fillId="5" borderId="7"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xf numFmtId="0" fontId="5" fillId="5" borderId="6" xfId="0" applyFont="1" applyFill="1" applyBorder="1" applyAlignment="1">
      <alignment horizontal="center"/>
    </xf>
    <xf numFmtId="44" fontId="4" fillId="0" borderId="3" xfId="1" applyFont="1" applyBorder="1" applyAlignment="1">
      <alignment horizontal="center"/>
    </xf>
    <xf numFmtId="44" fontId="4" fillId="0" borderId="4" xfId="1" applyFont="1" applyBorder="1" applyAlignment="1">
      <alignment horizontal="center"/>
    </xf>
    <xf numFmtId="44" fontId="4" fillId="0" borderId="5" xfId="1" applyFont="1" applyBorder="1" applyAlignment="1">
      <alignment horizontal="center"/>
    </xf>
    <xf numFmtId="44" fontId="4" fillId="0" borderId="6" xfId="1" applyFont="1" applyBorder="1" applyAlignment="1">
      <alignment horizontal="center"/>
    </xf>
    <xf numFmtId="0" fontId="0" fillId="0" borderId="0" xfId="0" applyNumberFormat="1"/>
  </cellXfs>
  <cellStyles count="3">
    <cellStyle name="Comma" xfId="2" builtinId="3"/>
    <cellStyle name="Currency" xfId="1" builtinId="4"/>
    <cellStyle name="Normal" xfId="0" builtinId="0"/>
  </cellStyles>
  <dxfs count="18">
    <dxf>
      <font>
        <color theme="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66" formatCode="_([$$-409]* #,##0_);_([$$-409]* \(#,##0\);_([$$-409]* &quot;-&quot;??_);_(@_)"/>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166" formatCode="_([$$-409]* #,##0_);_([$$-409]* \(#,##0\);_([$$-409]* &quot;-&quot;??_);_(@_)"/>
    </dxf>
    <dxf>
      <numFmt numFmtId="164" formatCode="_([$$-409]* #,##0.00_);_([$$-409]* \(#,##0.00\);_([$$-409]* &quot;-&quot;??_);_(@_)"/>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12" formatCode="&quot;$&quot;#,##0.00_);[Red]\(&quot;$&quot;#,##0.00\)"/>
    </dxf>
  </dxfs>
  <tableStyles count="1" defaultTableStyle="TableStyleMedium2" defaultPivotStyle="PivotStyleLight16">
    <tableStyle name="Slicer Style 1" pivot="0" table="0" count="1" xr9:uid="{6B811DB1-531A-4D10-B7C2-4D4F01F66F00}">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Amount Vs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'Q6'!$D$4:$D$303</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'Q6'!$E$4:$E$303</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26DB-4AB1-80FB-9ACE54FAC924}"/>
            </c:ext>
          </c:extLst>
        </c:ser>
        <c:dLbls>
          <c:showLegendKey val="0"/>
          <c:showVal val="0"/>
          <c:showCatName val="0"/>
          <c:showSerName val="0"/>
          <c:showPercent val="0"/>
          <c:showBubbleSize val="0"/>
        </c:dLbls>
        <c:axId val="228144319"/>
        <c:axId val="228151039"/>
      </c:scatterChart>
      <c:valAx>
        <c:axId val="228144319"/>
        <c:scaling>
          <c:orientation val="minMax"/>
        </c:scaling>
        <c:delete val="0"/>
        <c:axPos val="b"/>
        <c:majorGridlines>
          <c:spPr>
            <a:ln w="9525" cap="flat" cmpd="sng" algn="ctr">
              <a:solidFill>
                <a:schemeClr val="lt1">
                  <a:lumMod val="95000"/>
                  <a:alpha val="10000"/>
                </a:schemeClr>
              </a:solidFill>
              <a:round/>
            </a:ln>
            <a:effectLst/>
          </c:spPr>
        </c:majorGridlines>
        <c:numFmt formatCode="&quot;$&quot;#,##0_);[Red]\(&quot;$&quot;#,##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8151039"/>
        <c:crosses val="autoZero"/>
        <c:crossBetween val="midCat"/>
      </c:valAx>
      <c:valAx>
        <c:axId val="2281510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8144319"/>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Units Sold By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Tables'!$A$2:$A$12</c:f>
              <c:strCache>
                <c:ptCount val="10"/>
                <c:pt idx="0">
                  <c:v>Barr Faughny</c:v>
                </c:pt>
                <c:pt idx="1">
                  <c:v>Brien Boise</c:v>
                </c:pt>
                <c:pt idx="2">
                  <c:v>Carla Molina</c:v>
                </c:pt>
                <c:pt idx="3">
                  <c:v>Ches Bonnell</c:v>
                </c:pt>
                <c:pt idx="4">
                  <c:v>Curtice Advani</c:v>
                </c:pt>
                <c:pt idx="5">
                  <c:v>Gigi Bohling</c:v>
                </c:pt>
                <c:pt idx="6">
                  <c:v>Gunar Cockshoot</c:v>
                </c:pt>
                <c:pt idx="7">
                  <c:v>Husein Augar</c:v>
                </c:pt>
                <c:pt idx="8">
                  <c:v>Oby Sorrel</c:v>
                </c:pt>
                <c:pt idx="9">
                  <c:v>Ram Mahesh</c:v>
                </c:pt>
              </c:strCache>
            </c:strRef>
          </c:cat>
          <c:val>
            <c:numRef>
              <c:f>'Pivote Tables'!$B$2:$B$12</c:f>
              <c:numCache>
                <c:formatCode>#,##0</c:formatCode>
                <c:ptCount val="10"/>
                <c:pt idx="0">
                  <c:v>4110</c:v>
                </c:pt>
                <c:pt idx="1">
                  <c:v>4704</c:v>
                </c:pt>
                <c:pt idx="2">
                  <c:v>3867</c:v>
                </c:pt>
                <c:pt idx="3">
                  <c:v>5295</c:v>
                </c:pt>
                <c:pt idx="4">
                  <c:v>5925</c:v>
                </c:pt>
                <c:pt idx="5">
                  <c:v>3669</c:v>
                </c:pt>
                <c:pt idx="6">
                  <c:v>5007</c:v>
                </c:pt>
                <c:pt idx="7">
                  <c:v>4554</c:v>
                </c:pt>
                <c:pt idx="8">
                  <c:v>3843</c:v>
                </c:pt>
                <c:pt idx="9">
                  <c:v>4686</c:v>
                </c:pt>
              </c:numCache>
            </c:numRef>
          </c:val>
          <c:extLst>
            <c:ext xmlns:c16="http://schemas.microsoft.com/office/drawing/2014/chart" uri="{C3380CC4-5D6E-409C-BE32-E72D297353CC}">
              <c16:uniqueId val="{00000000-B59D-46E0-BE2D-5F0819829C29}"/>
            </c:ext>
          </c:extLst>
        </c:ser>
        <c:dLbls>
          <c:showLegendKey val="0"/>
          <c:showVal val="0"/>
          <c:showCatName val="0"/>
          <c:showSerName val="0"/>
          <c:showPercent val="0"/>
          <c:showBubbleSize val="0"/>
        </c:dLbls>
        <c:gapWidth val="100"/>
        <c:overlap val="-24"/>
        <c:axId val="2024497648"/>
        <c:axId val="2024498128"/>
      </c:barChart>
      <c:catAx>
        <c:axId val="2024497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498128"/>
        <c:crosses val="autoZero"/>
        <c:auto val="1"/>
        <c:lblAlgn val="ctr"/>
        <c:lblOffset val="100"/>
        <c:noMultiLvlLbl val="0"/>
      </c:catAx>
      <c:valAx>
        <c:axId val="20244981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49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Tables!Country1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Units Sold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 Tables'!$E$1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9F-4FA7-9FD2-A95DFB1A7B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9F-4FA7-9FD2-A95DFB1A7B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9F-4FA7-9FD2-A95DFB1A7B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09F-4FA7-9FD2-A95DFB1A7BB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09F-4FA7-9FD2-A95DFB1A7BB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09F-4FA7-9FD2-A95DFB1A7B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 Tables'!$D$2:$D$8</c:f>
              <c:strCache>
                <c:ptCount val="6"/>
                <c:pt idx="0">
                  <c:v>Australia</c:v>
                </c:pt>
                <c:pt idx="1">
                  <c:v>Canada</c:v>
                </c:pt>
                <c:pt idx="2">
                  <c:v>India</c:v>
                </c:pt>
                <c:pt idx="3">
                  <c:v>New Zealand</c:v>
                </c:pt>
                <c:pt idx="4">
                  <c:v>UK</c:v>
                </c:pt>
                <c:pt idx="5">
                  <c:v>USA</c:v>
                </c:pt>
              </c:strCache>
            </c:strRef>
          </c:cat>
          <c:val>
            <c:numRef>
              <c:f>'Pivote Tables'!$E$2:$E$8</c:f>
              <c:numCache>
                <c:formatCode>0.00%</c:formatCode>
                <c:ptCount val="6"/>
                <c:pt idx="0">
                  <c:v>0.8947037650688453</c:v>
                </c:pt>
                <c:pt idx="1">
                  <c:v>0.95952693823915902</c:v>
                </c:pt>
                <c:pt idx="2">
                  <c:v>0.99234219946531343</c:v>
                </c:pt>
                <c:pt idx="3">
                  <c:v>0.92120596037983804</c:v>
                </c:pt>
                <c:pt idx="4">
                  <c:v>0.94365965834428389</c:v>
                </c:pt>
                <c:pt idx="5">
                  <c:v>1.2592666055091366</c:v>
                </c:pt>
              </c:numCache>
            </c:numRef>
          </c:val>
          <c:extLst>
            <c:ext xmlns:c16="http://schemas.microsoft.com/office/drawing/2014/chart" uri="{C3380CC4-5D6E-409C-BE32-E72D297353CC}">
              <c16:uniqueId val="{00000000-91A8-4D11-ABB8-4513123878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Tables'!$H$1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Tables'!$G$2:$G$12</c:f>
              <c:strCache>
                <c:ptCount val="10"/>
                <c:pt idx="0">
                  <c:v>70% Dark Bites</c:v>
                </c:pt>
                <c:pt idx="1">
                  <c:v>After Nines</c:v>
                </c:pt>
                <c:pt idx="2">
                  <c:v>Baker's Choco Chips</c:v>
                </c:pt>
                <c:pt idx="3">
                  <c:v>Caramel Stuffed Bars</c:v>
                </c:pt>
                <c:pt idx="4">
                  <c:v>Eclairs</c:v>
                </c:pt>
                <c:pt idx="5">
                  <c:v>Fruit &amp; Nut Bars</c:v>
                </c:pt>
                <c:pt idx="6">
                  <c:v>Manuka Honey Choco</c:v>
                </c:pt>
                <c:pt idx="7">
                  <c:v>Mint Chip Choco</c:v>
                </c:pt>
                <c:pt idx="8">
                  <c:v>Organic Choco Syrup</c:v>
                </c:pt>
                <c:pt idx="9">
                  <c:v>White Choc</c:v>
                </c:pt>
              </c:strCache>
            </c:strRef>
          </c:cat>
          <c:val>
            <c:numRef>
              <c:f>'Pivote Tables'!$H$2:$H$12</c:f>
              <c:numCache>
                <c:formatCode>General</c:formatCode>
                <c:ptCount val="10"/>
                <c:pt idx="0">
                  <c:v>16</c:v>
                </c:pt>
                <c:pt idx="1">
                  <c:v>16</c:v>
                </c:pt>
                <c:pt idx="2">
                  <c:v>17</c:v>
                </c:pt>
                <c:pt idx="3">
                  <c:v>15</c:v>
                </c:pt>
                <c:pt idx="4">
                  <c:v>17</c:v>
                </c:pt>
                <c:pt idx="5">
                  <c:v>15</c:v>
                </c:pt>
                <c:pt idx="6">
                  <c:v>17</c:v>
                </c:pt>
                <c:pt idx="7">
                  <c:v>15</c:v>
                </c:pt>
                <c:pt idx="8">
                  <c:v>18</c:v>
                </c:pt>
                <c:pt idx="9">
                  <c:v>17</c:v>
                </c:pt>
              </c:numCache>
            </c:numRef>
          </c:val>
          <c:smooth val="0"/>
          <c:extLst>
            <c:ext xmlns:c16="http://schemas.microsoft.com/office/drawing/2014/chart" uri="{C3380CC4-5D6E-409C-BE32-E72D297353CC}">
              <c16:uniqueId val="{00000000-FFC9-408F-87D2-FEBFE5E8AD7A}"/>
            </c:ext>
          </c:extLst>
        </c:ser>
        <c:dLbls>
          <c:dLblPos val="t"/>
          <c:showLegendKey val="0"/>
          <c:showVal val="1"/>
          <c:showCatName val="0"/>
          <c:showSerName val="0"/>
          <c:showPercent val="0"/>
          <c:showBubbleSize val="0"/>
        </c:dLbls>
        <c:marker val="1"/>
        <c:smooth val="0"/>
        <c:axId val="416993328"/>
        <c:axId val="416987568"/>
      </c:lineChart>
      <c:catAx>
        <c:axId val="41699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987568"/>
        <c:crosses val="autoZero"/>
        <c:auto val="1"/>
        <c:lblAlgn val="ctr"/>
        <c:lblOffset val="100"/>
        <c:noMultiLvlLbl val="0"/>
      </c:catAx>
      <c:valAx>
        <c:axId val="41698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9933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Geography  Distribution By Profit Percentage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 Tables'!$K$1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Tables'!$J$2:$J$8</c:f>
              <c:strCache>
                <c:ptCount val="6"/>
                <c:pt idx="0">
                  <c:v>Australia</c:v>
                </c:pt>
                <c:pt idx="1">
                  <c:v>Canada</c:v>
                </c:pt>
                <c:pt idx="2">
                  <c:v>India</c:v>
                </c:pt>
                <c:pt idx="3">
                  <c:v>New Zealand</c:v>
                </c:pt>
                <c:pt idx="4">
                  <c:v>UK</c:v>
                </c:pt>
                <c:pt idx="5">
                  <c:v>USA</c:v>
                </c:pt>
              </c:strCache>
            </c:strRef>
          </c:cat>
          <c:val>
            <c:numRef>
              <c:f>'Pivote Tables'!$K$2:$K$8</c:f>
              <c:numCache>
                <c:formatCode>0.00%</c:formatCode>
                <c:ptCount val="6"/>
                <c:pt idx="0">
                  <c:v>0.13479650709272512</c:v>
                </c:pt>
                <c:pt idx="1">
                  <c:v>0.21179669957485803</c:v>
                </c:pt>
                <c:pt idx="2">
                  <c:v>0.21442217533967742</c:v>
                </c:pt>
                <c:pt idx="3">
                  <c:v>0.18709003699074475</c:v>
                </c:pt>
                <c:pt idx="4">
                  <c:v>0.1492719099019357</c:v>
                </c:pt>
                <c:pt idx="5">
                  <c:v>0.10262267110005906</c:v>
                </c:pt>
              </c:numCache>
            </c:numRef>
          </c:val>
          <c:extLst>
            <c:ext xmlns:c16="http://schemas.microsoft.com/office/drawing/2014/chart" uri="{C3380CC4-5D6E-409C-BE32-E72D297353CC}">
              <c16:uniqueId val="{00000000-9515-47B8-9260-B983D85E6B51}"/>
            </c:ext>
          </c:extLst>
        </c:ser>
        <c:dLbls>
          <c:showLegendKey val="0"/>
          <c:showVal val="0"/>
          <c:showCatName val="0"/>
          <c:showSerName val="0"/>
          <c:showPercent val="0"/>
          <c:showBubbleSize val="0"/>
        </c:dLbls>
        <c:gapWidth val="150"/>
        <c:overlap val="100"/>
        <c:axId val="416952048"/>
        <c:axId val="416949648"/>
      </c:barChart>
      <c:catAx>
        <c:axId val="416952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949648"/>
        <c:crosses val="autoZero"/>
        <c:auto val="1"/>
        <c:lblAlgn val="ctr"/>
        <c:lblOffset val="100"/>
        <c:noMultiLvlLbl val="0"/>
      </c:catAx>
      <c:valAx>
        <c:axId val="4169496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9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Person Vs Amount By Geography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Tables'!$G$14:$G$16</c:f>
              <c:strCache>
                <c:ptCount val="1"/>
                <c:pt idx="0">
                  <c:v>Sum of Amount - Australia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'Pivote Tables'!$F$17:$F$18</c:f>
              <c:strCache>
                <c:ptCount val="1"/>
                <c:pt idx="0">
                  <c:v>Carla Molina</c:v>
                </c:pt>
              </c:strCache>
            </c:strRef>
          </c:cat>
          <c:val>
            <c:numRef>
              <c:f>'Pivote Tables'!$G$17:$G$18</c:f>
              <c:numCache>
                <c:formatCode>"$"#,##0_);[Red]\("$"#,##0\)</c:formatCode>
                <c:ptCount val="1"/>
                <c:pt idx="0">
                  <c:v>6069</c:v>
                </c:pt>
              </c:numCache>
            </c:numRef>
          </c:val>
          <c:smooth val="0"/>
          <c:extLst>
            <c:ext xmlns:c16="http://schemas.microsoft.com/office/drawing/2014/chart" uri="{C3380CC4-5D6E-409C-BE32-E72D297353CC}">
              <c16:uniqueId val="{00000000-0F69-4FD5-897A-615934EDB5F7}"/>
            </c:ext>
          </c:extLst>
        </c:ser>
        <c:ser>
          <c:idx val="1"/>
          <c:order val="1"/>
          <c:tx>
            <c:strRef>
              <c:f>'Pivote Tables'!$H$14:$H$16</c:f>
              <c:strCache>
                <c:ptCount val="1"/>
                <c:pt idx="0">
                  <c:v>Sum of Amount - Canada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'Pivote Tables'!$F$17:$F$18</c:f>
              <c:strCache>
                <c:ptCount val="1"/>
                <c:pt idx="0">
                  <c:v>Carla Molina</c:v>
                </c:pt>
              </c:strCache>
            </c:strRef>
          </c:cat>
          <c:val>
            <c:numRef>
              <c:f>'Pivote Tables'!$H$17:$H$18</c:f>
              <c:numCache>
                <c:formatCode>"$"#,##0_);[Red]\("$"#,##0\)</c:formatCode>
                <c:ptCount val="1"/>
                <c:pt idx="0">
                  <c:v>39242</c:v>
                </c:pt>
              </c:numCache>
            </c:numRef>
          </c:val>
          <c:smooth val="0"/>
          <c:extLst>
            <c:ext xmlns:c16="http://schemas.microsoft.com/office/drawing/2014/chart" uri="{C3380CC4-5D6E-409C-BE32-E72D297353CC}">
              <c16:uniqueId val="{00000001-0F69-4FD5-897A-615934EDB5F7}"/>
            </c:ext>
          </c:extLst>
        </c:ser>
        <c:ser>
          <c:idx val="2"/>
          <c:order val="2"/>
          <c:tx>
            <c:strRef>
              <c:f>'Pivote Tables'!$I$14:$I$16</c:f>
              <c:strCache>
                <c:ptCount val="1"/>
                <c:pt idx="0">
                  <c:v>Sum of Amount - India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'Pivote Tables'!$F$17:$F$18</c:f>
              <c:strCache>
                <c:ptCount val="1"/>
                <c:pt idx="0">
                  <c:v>Carla Molina</c:v>
                </c:pt>
              </c:strCache>
            </c:strRef>
          </c:cat>
          <c:val>
            <c:numRef>
              <c:f>'Pivote Tables'!$I$17:$I$18</c:f>
              <c:numCache>
                <c:formatCode>"$"#,##0_);[Red]\("$"#,##0\)</c:formatCode>
                <c:ptCount val="1"/>
                <c:pt idx="0">
                  <c:v>15855</c:v>
                </c:pt>
              </c:numCache>
            </c:numRef>
          </c:val>
          <c:smooth val="0"/>
          <c:extLst>
            <c:ext xmlns:c16="http://schemas.microsoft.com/office/drawing/2014/chart" uri="{C3380CC4-5D6E-409C-BE32-E72D297353CC}">
              <c16:uniqueId val="{0000000A-C13C-4C0F-8F37-B680FE5A3E96}"/>
            </c:ext>
          </c:extLst>
        </c:ser>
        <c:ser>
          <c:idx val="3"/>
          <c:order val="3"/>
          <c:tx>
            <c:strRef>
              <c:f>'Pivote Tables'!$J$14:$J$16</c:f>
              <c:strCache>
                <c:ptCount val="1"/>
                <c:pt idx="0">
                  <c:v>Sum of Amount - New Zealand</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'Pivote Tables'!$F$17:$F$18</c:f>
              <c:strCache>
                <c:ptCount val="1"/>
                <c:pt idx="0">
                  <c:v>Carla Molina</c:v>
                </c:pt>
              </c:strCache>
            </c:strRef>
          </c:cat>
          <c:val>
            <c:numRef>
              <c:f>'Pivote Tables'!$J$17:$J$18</c:f>
              <c:numCache>
                <c:formatCode>"$"#,##0_);[Red]\("$"#,##0\)</c:formatCode>
                <c:ptCount val="1"/>
                <c:pt idx="0">
                  <c:v>17283</c:v>
                </c:pt>
              </c:numCache>
            </c:numRef>
          </c:val>
          <c:smooth val="0"/>
          <c:extLst>
            <c:ext xmlns:c16="http://schemas.microsoft.com/office/drawing/2014/chart" uri="{C3380CC4-5D6E-409C-BE32-E72D297353CC}">
              <c16:uniqueId val="{0000000B-C13C-4C0F-8F37-B680FE5A3E96}"/>
            </c:ext>
          </c:extLst>
        </c:ser>
        <c:ser>
          <c:idx val="4"/>
          <c:order val="4"/>
          <c:tx>
            <c:strRef>
              <c:f>'Pivote Tables'!$K$14:$K$16</c:f>
              <c:strCache>
                <c:ptCount val="1"/>
                <c:pt idx="0">
                  <c:v>Sum of Amount - UK</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'Pivote Tables'!$F$17:$F$18</c:f>
              <c:strCache>
                <c:ptCount val="1"/>
                <c:pt idx="0">
                  <c:v>Carla Molina</c:v>
                </c:pt>
              </c:strCache>
            </c:strRef>
          </c:cat>
          <c:val>
            <c:numRef>
              <c:f>'Pivote Tables'!$K$17:$K$18</c:f>
              <c:numCache>
                <c:formatCode>"$"#,##0_);[Red]\("$"#,##0\)</c:formatCode>
                <c:ptCount val="1"/>
                <c:pt idx="0">
                  <c:v>3976</c:v>
                </c:pt>
              </c:numCache>
            </c:numRef>
          </c:val>
          <c:smooth val="0"/>
          <c:extLst>
            <c:ext xmlns:c16="http://schemas.microsoft.com/office/drawing/2014/chart" uri="{C3380CC4-5D6E-409C-BE32-E72D297353CC}">
              <c16:uniqueId val="{0000000C-C13C-4C0F-8F37-B680FE5A3E96}"/>
            </c:ext>
          </c:extLst>
        </c:ser>
        <c:ser>
          <c:idx val="5"/>
          <c:order val="5"/>
          <c:tx>
            <c:strRef>
              <c:f>'Pivote Tables'!$L$14:$L$16</c:f>
              <c:strCache>
                <c:ptCount val="1"/>
                <c:pt idx="0">
                  <c:v>Sum of Amount - USA</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'Pivote Tables'!$F$17:$F$18</c:f>
              <c:strCache>
                <c:ptCount val="1"/>
                <c:pt idx="0">
                  <c:v>Carla Molina</c:v>
                </c:pt>
              </c:strCache>
            </c:strRef>
          </c:cat>
          <c:val>
            <c:numRef>
              <c:f>'Pivote Tables'!$L$17:$L$18</c:f>
              <c:numCache>
                <c:formatCode>"$"#,##0_);[Red]\("$"#,##0\)</c:formatCode>
                <c:ptCount val="1"/>
                <c:pt idx="0">
                  <c:v>15785</c:v>
                </c:pt>
              </c:numCache>
            </c:numRef>
          </c:val>
          <c:smooth val="0"/>
          <c:extLst>
            <c:ext xmlns:c16="http://schemas.microsoft.com/office/drawing/2014/chart" uri="{C3380CC4-5D6E-409C-BE32-E72D297353CC}">
              <c16:uniqueId val="{0000000D-C13C-4C0F-8F37-B680FE5A3E96}"/>
            </c:ext>
          </c:extLst>
        </c:ser>
        <c:ser>
          <c:idx val="6"/>
          <c:order val="6"/>
          <c:tx>
            <c:strRef>
              <c:f>'Pivote Tables'!$M$14:$M$16</c:f>
              <c:strCache>
                <c:ptCount val="1"/>
                <c:pt idx="0">
                  <c:v>Count of Geography - Australia</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'Pivote Tables'!$F$17:$F$18</c:f>
              <c:strCache>
                <c:ptCount val="1"/>
                <c:pt idx="0">
                  <c:v>Carla Molina</c:v>
                </c:pt>
              </c:strCache>
            </c:strRef>
          </c:cat>
          <c:val>
            <c:numRef>
              <c:f>'Pivote Tables'!$M$17:$M$18</c:f>
              <c:numCache>
                <c:formatCode>General</c:formatCode>
                <c:ptCount val="1"/>
                <c:pt idx="0">
                  <c:v>2</c:v>
                </c:pt>
              </c:numCache>
            </c:numRef>
          </c:val>
          <c:smooth val="0"/>
          <c:extLst>
            <c:ext xmlns:c16="http://schemas.microsoft.com/office/drawing/2014/chart" uri="{C3380CC4-5D6E-409C-BE32-E72D297353CC}">
              <c16:uniqueId val="{0000000E-C13C-4C0F-8F37-B680FE5A3E96}"/>
            </c:ext>
          </c:extLst>
        </c:ser>
        <c:ser>
          <c:idx val="7"/>
          <c:order val="7"/>
          <c:tx>
            <c:strRef>
              <c:f>'Pivote Tables'!$N$14:$N$16</c:f>
              <c:strCache>
                <c:ptCount val="1"/>
                <c:pt idx="0">
                  <c:v>Count of Geography - Canada</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'Pivote Tables'!$F$17:$F$18</c:f>
              <c:strCache>
                <c:ptCount val="1"/>
                <c:pt idx="0">
                  <c:v>Carla Molina</c:v>
                </c:pt>
              </c:strCache>
            </c:strRef>
          </c:cat>
          <c:val>
            <c:numRef>
              <c:f>'Pivote Tables'!$N$17:$N$18</c:f>
              <c:numCache>
                <c:formatCode>General</c:formatCode>
                <c:ptCount val="1"/>
                <c:pt idx="0">
                  <c:v>7</c:v>
                </c:pt>
              </c:numCache>
            </c:numRef>
          </c:val>
          <c:smooth val="0"/>
          <c:extLst>
            <c:ext xmlns:c16="http://schemas.microsoft.com/office/drawing/2014/chart" uri="{C3380CC4-5D6E-409C-BE32-E72D297353CC}">
              <c16:uniqueId val="{0000000F-C13C-4C0F-8F37-B680FE5A3E96}"/>
            </c:ext>
          </c:extLst>
        </c:ser>
        <c:ser>
          <c:idx val="8"/>
          <c:order val="8"/>
          <c:tx>
            <c:strRef>
              <c:f>'Pivote Tables'!$O$14:$O$16</c:f>
              <c:strCache>
                <c:ptCount val="1"/>
                <c:pt idx="0">
                  <c:v>Count of Geography - India</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'Pivote Tables'!$F$17:$F$18</c:f>
              <c:strCache>
                <c:ptCount val="1"/>
                <c:pt idx="0">
                  <c:v>Carla Molina</c:v>
                </c:pt>
              </c:strCache>
            </c:strRef>
          </c:cat>
          <c:val>
            <c:numRef>
              <c:f>'Pivote Tables'!$O$17:$O$18</c:f>
              <c:numCache>
                <c:formatCode>General</c:formatCode>
                <c:ptCount val="1"/>
                <c:pt idx="0">
                  <c:v>5</c:v>
                </c:pt>
              </c:numCache>
            </c:numRef>
          </c:val>
          <c:smooth val="0"/>
          <c:extLst>
            <c:ext xmlns:c16="http://schemas.microsoft.com/office/drawing/2014/chart" uri="{C3380CC4-5D6E-409C-BE32-E72D297353CC}">
              <c16:uniqueId val="{00000010-C13C-4C0F-8F37-B680FE5A3E96}"/>
            </c:ext>
          </c:extLst>
        </c:ser>
        <c:ser>
          <c:idx val="9"/>
          <c:order val="9"/>
          <c:tx>
            <c:strRef>
              <c:f>'Pivote Tables'!$P$14:$P$16</c:f>
              <c:strCache>
                <c:ptCount val="1"/>
                <c:pt idx="0">
                  <c:v>Count of Geography - New Zealand</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'Pivote Tables'!$F$17:$F$18</c:f>
              <c:strCache>
                <c:ptCount val="1"/>
                <c:pt idx="0">
                  <c:v>Carla Molina</c:v>
                </c:pt>
              </c:strCache>
            </c:strRef>
          </c:cat>
          <c:val>
            <c:numRef>
              <c:f>'Pivote Tables'!$P$17:$P$18</c:f>
              <c:numCache>
                <c:formatCode>General</c:formatCode>
                <c:ptCount val="1"/>
                <c:pt idx="0">
                  <c:v>6</c:v>
                </c:pt>
              </c:numCache>
            </c:numRef>
          </c:val>
          <c:smooth val="0"/>
          <c:extLst>
            <c:ext xmlns:c16="http://schemas.microsoft.com/office/drawing/2014/chart" uri="{C3380CC4-5D6E-409C-BE32-E72D297353CC}">
              <c16:uniqueId val="{00000011-C13C-4C0F-8F37-B680FE5A3E96}"/>
            </c:ext>
          </c:extLst>
        </c:ser>
        <c:ser>
          <c:idx val="10"/>
          <c:order val="10"/>
          <c:tx>
            <c:strRef>
              <c:f>'Pivote Tables'!$Q$14:$Q$16</c:f>
              <c:strCache>
                <c:ptCount val="1"/>
                <c:pt idx="0">
                  <c:v>Count of Geography - UK</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'Pivote Tables'!$F$17:$F$18</c:f>
              <c:strCache>
                <c:ptCount val="1"/>
                <c:pt idx="0">
                  <c:v>Carla Molina</c:v>
                </c:pt>
              </c:strCache>
            </c:strRef>
          </c:cat>
          <c:val>
            <c:numRef>
              <c:f>'Pivote Tables'!$Q$17:$Q$18</c:f>
              <c:numCache>
                <c:formatCode>General</c:formatCode>
                <c:ptCount val="1"/>
                <c:pt idx="0">
                  <c:v>1</c:v>
                </c:pt>
              </c:numCache>
            </c:numRef>
          </c:val>
          <c:smooth val="0"/>
          <c:extLst>
            <c:ext xmlns:c16="http://schemas.microsoft.com/office/drawing/2014/chart" uri="{C3380CC4-5D6E-409C-BE32-E72D297353CC}">
              <c16:uniqueId val="{00000012-C13C-4C0F-8F37-B680FE5A3E96}"/>
            </c:ext>
          </c:extLst>
        </c:ser>
        <c:ser>
          <c:idx val="11"/>
          <c:order val="11"/>
          <c:tx>
            <c:strRef>
              <c:f>'Pivote Tables'!$R$14:$R$16</c:f>
              <c:strCache>
                <c:ptCount val="1"/>
                <c:pt idx="0">
                  <c:v>Count of Geography - USA</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'Pivote Tables'!$F$17:$F$18</c:f>
              <c:strCache>
                <c:ptCount val="1"/>
                <c:pt idx="0">
                  <c:v>Carla Molina</c:v>
                </c:pt>
              </c:strCache>
            </c:strRef>
          </c:cat>
          <c:val>
            <c:numRef>
              <c:f>'Pivote Tables'!$R$17:$R$18</c:f>
              <c:numCache>
                <c:formatCode>General</c:formatCode>
                <c:ptCount val="1"/>
                <c:pt idx="0">
                  <c:v>5</c:v>
                </c:pt>
              </c:numCache>
            </c:numRef>
          </c:val>
          <c:smooth val="0"/>
          <c:extLst>
            <c:ext xmlns:c16="http://schemas.microsoft.com/office/drawing/2014/chart" uri="{C3380CC4-5D6E-409C-BE32-E72D297353CC}">
              <c16:uniqueId val="{00000013-C13C-4C0F-8F37-B680FE5A3E96}"/>
            </c:ext>
          </c:extLst>
        </c:ser>
        <c:dLbls>
          <c:showLegendKey val="0"/>
          <c:showVal val="0"/>
          <c:showCatName val="0"/>
          <c:showSerName val="0"/>
          <c:showPercent val="0"/>
          <c:showBubbleSize val="0"/>
        </c:dLbls>
        <c:marker val="1"/>
        <c:smooth val="0"/>
        <c:axId val="1864859952"/>
        <c:axId val="1864854192"/>
      </c:lineChart>
      <c:catAx>
        <c:axId val="186485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4854192"/>
        <c:crosses val="autoZero"/>
        <c:auto val="1"/>
        <c:lblAlgn val="ctr"/>
        <c:lblOffset val="100"/>
        <c:noMultiLvlLbl val="0"/>
      </c:catAx>
      <c:valAx>
        <c:axId val="1864854192"/>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48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Tables!Country2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Geography</a:t>
            </a:r>
            <a:r>
              <a:rPr lang="en-US" baseline="0"/>
              <a:t> Distribution By Amount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'Pivote Tables'!$N$4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D8-4F0B-ABA3-C9F14BF543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D8-4F0B-ABA3-C9F14BF543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9D8-4F0B-ABA3-C9F14BF543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9D8-4F0B-ABA3-C9F14BF5435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9D8-4F0B-ABA3-C9F14BF5435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9D8-4F0B-ABA3-C9F14BF543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'Pivote Tables'!$M$5:$M$11</c:f>
              <c:strCache>
                <c:ptCount val="6"/>
                <c:pt idx="0">
                  <c:v>Australia</c:v>
                </c:pt>
                <c:pt idx="1">
                  <c:v>Canada</c:v>
                </c:pt>
                <c:pt idx="2">
                  <c:v>India</c:v>
                </c:pt>
                <c:pt idx="3">
                  <c:v>New Zealand</c:v>
                </c:pt>
                <c:pt idx="4">
                  <c:v>UK</c:v>
                </c:pt>
                <c:pt idx="5">
                  <c:v>USA</c:v>
                </c:pt>
              </c:strCache>
            </c:strRef>
          </c:cat>
          <c:val>
            <c:numRef>
              <c:f>'Pivote Tables'!$N$5:$N$11</c:f>
              <c:numCache>
                <c:formatCode>0.00%</c:formatCode>
                <c:ptCount val="6"/>
                <c:pt idx="0">
                  <c:v>0.13593618665628684</c:v>
                </c:pt>
                <c:pt idx="1">
                  <c:v>0.19175593878161193</c:v>
                </c:pt>
                <c:pt idx="2">
                  <c:v>0.20346144516463865</c:v>
                </c:pt>
                <c:pt idx="3">
                  <c:v>0.17633851760338923</c:v>
                </c:pt>
                <c:pt idx="4">
                  <c:v>0.13984554372782301</c:v>
                </c:pt>
                <c:pt idx="5">
                  <c:v>0.15266236806625036</c:v>
                </c:pt>
              </c:numCache>
            </c:numRef>
          </c:val>
          <c:extLst>
            <c:ext xmlns:c16="http://schemas.microsoft.com/office/drawing/2014/chart" uri="{C3380CC4-5D6E-409C-BE32-E72D297353CC}">
              <c16:uniqueId val="{00000000-6ECF-4459-8942-5316E6A102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Tables!PivotTable1</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Units Sold By Sales Person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Tables'!$A$2:$A$12</c:f>
              <c:strCache>
                <c:ptCount val="10"/>
                <c:pt idx="0">
                  <c:v>Barr Faughny</c:v>
                </c:pt>
                <c:pt idx="1">
                  <c:v>Brien Boise</c:v>
                </c:pt>
                <c:pt idx="2">
                  <c:v>Carla Molina</c:v>
                </c:pt>
                <c:pt idx="3">
                  <c:v>Ches Bonnell</c:v>
                </c:pt>
                <c:pt idx="4">
                  <c:v>Curtice Advani</c:v>
                </c:pt>
                <c:pt idx="5">
                  <c:v>Gigi Bohling</c:v>
                </c:pt>
                <c:pt idx="6">
                  <c:v>Gunar Cockshoot</c:v>
                </c:pt>
                <c:pt idx="7">
                  <c:v>Husein Augar</c:v>
                </c:pt>
                <c:pt idx="8">
                  <c:v>Oby Sorrel</c:v>
                </c:pt>
                <c:pt idx="9">
                  <c:v>Ram Mahesh</c:v>
                </c:pt>
              </c:strCache>
            </c:strRef>
          </c:cat>
          <c:val>
            <c:numRef>
              <c:f>'Pivote Tables'!$B$2:$B$12</c:f>
              <c:numCache>
                <c:formatCode>#,##0</c:formatCode>
                <c:ptCount val="10"/>
                <c:pt idx="0">
                  <c:v>4110</c:v>
                </c:pt>
                <c:pt idx="1">
                  <c:v>4704</c:v>
                </c:pt>
                <c:pt idx="2">
                  <c:v>3867</c:v>
                </c:pt>
                <c:pt idx="3">
                  <c:v>5295</c:v>
                </c:pt>
                <c:pt idx="4">
                  <c:v>5925</c:v>
                </c:pt>
                <c:pt idx="5">
                  <c:v>3669</c:v>
                </c:pt>
                <c:pt idx="6">
                  <c:v>5007</c:v>
                </c:pt>
                <c:pt idx="7">
                  <c:v>4554</c:v>
                </c:pt>
                <c:pt idx="8">
                  <c:v>3843</c:v>
                </c:pt>
                <c:pt idx="9">
                  <c:v>4686</c:v>
                </c:pt>
              </c:numCache>
            </c:numRef>
          </c:val>
          <c:extLst>
            <c:ext xmlns:c16="http://schemas.microsoft.com/office/drawing/2014/chart" uri="{C3380CC4-5D6E-409C-BE32-E72D297353CC}">
              <c16:uniqueId val="{00000000-E17A-4FB3-856E-086D8BA26E4E}"/>
            </c:ext>
          </c:extLst>
        </c:ser>
        <c:dLbls>
          <c:showLegendKey val="0"/>
          <c:showVal val="0"/>
          <c:showCatName val="0"/>
          <c:showSerName val="0"/>
          <c:showPercent val="0"/>
          <c:showBubbleSize val="0"/>
        </c:dLbls>
        <c:gapWidth val="100"/>
        <c:overlap val="-24"/>
        <c:axId val="2024497648"/>
        <c:axId val="2024498128"/>
      </c:barChart>
      <c:catAx>
        <c:axId val="2024497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498128"/>
        <c:crosses val="autoZero"/>
        <c:auto val="1"/>
        <c:lblAlgn val="ctr"/>
        <c:lblOffset val="100"/>
        <c:noMultiLvlLbl val="0"/>
      </c:catAx>
      <c:valAx>
        <c:axId val="202449812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49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Tables!Country1</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Of Units Sold By Country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77517265649113E-3"/>
              <c:y val="1.219584394056003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422278919045742E-3"/>
              <c:y val="-2.125293548832711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718710440524545E-3"/>
              <c:y val="-3.988070570126102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187954857598107"/>
              <c:y val="-3.8531367789552623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700665210144834E-2"/>
              <c:y val="-0.1286266848222919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421125431946707E-2"/>
              <c:y val="4.910307264223551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2785622467582"/>
          <c:y val="0.2946815858543998"/>
          <c:w val="0.34015405895492112"/>
          <c:h val="0.68670199119846864"/>
        </c:manualLayout>
      </c:layout>
      <c:pieChart>
        <c:varyColors val="1"/>
        <c:ser>
          <c:idx val="0"/>
          <c:order val="0"/>
          <c:tx>
            <c:strRef>
              <c:f>'Pivote Tables'!$E$1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7B9-4215-B2DA-29C28D0BEB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7B9-4215-B2DA-29C28D0BEB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7B9-4215-B2DA-29C28D0BEB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7B9-4215-B2DA-29C28D0BEBF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7B9-4215-B2DA-29C28D0BEBF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7B9-4215-B2DA-29C28D0BEBF5}"/>
              </c:ext>
            </c:extLst>
          </c:dPt>
          <c:dLbls>
            <c:dLbl>
              <c:idx val="0"/>
              <c:layout>
                <c:manualLayout>
                  <c:x val="-6.677517265649113E-3"/>
                  <c:y val="1.21958439405600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B9-4215-B2DA-29C28D0BEBF5}"/>
                </c:ext>
              </c:extLst>
            </c:dLbl>
            <c:dLbl>
              <c:idx val="1"/>
              <c:layout>
                <c:manualLayout>
                  <c:x val="9.9422278919045742E-3"/>
                  <c:y val="-2.125293548832711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B9-4215-B2DA-29C28D0BEBF5}"/>
                </c:ext>
              </c:extLst>
            </c:dLbl>
            <c:dLbl>
              <c:idx val="2"/>
              <c:layout>
                <c:manualLayout>
                  <c:x val="8.2718710440524545E-3"/>
                  <c:y val="-3.98807057012610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B9-4215-B2DA-29C28D0BEBF5}"/>
                </c:ext>
              </c:extLst>
            </c:dLbl>
            <c:dLbl>
              <c:idx val="3"/>
              <c:layout>
                <c:manualLayout>
                  <c:x val="0.10187954857598107"/>
                  <c:y val="-3.853136778955262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B9-4215-B2DA-29C28D0BEBF5}"/>
                </c:ext>
              </c:extLst>
            </c:dLbl>
            <c:dLbl>
              <c:idx val="4"/>
              <c:layout>
                <c:manualLayout>
                  <c:x val="-1.8700665210144834E-2"/>
                  <c:y val="-0.1286266848222919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B9-4215-B2DA-29C28D0BEBF5}"/>
                </c:ext>
              </c:extLst>
            </c:dLbl>
            <c:dLbl>
              <c:idx val="5"/>
              <c:layout>
                <c:manualLayout>
                  <c:x val="-3.7421125431946707E-2"/>
                  <c:y val="4.91030726422355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B9-4215-B2DA-29C28D0BEBF5}"/>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'Pivote Tables'!$D$2:$D$8</c:f>
              <c:strCache>
                <c:ptCount val="6"/>
                <c:pt idx="0">
                  <c:v>Australia</c:v>
                </c:pt>
                <c:pt idx="1">
                  <c:v>Canada</c:v>
                </c:pt>
                <c:pt idx="2">
                  <c:v>India</c:v>
                </c:pt>
                <c:pt idx="3">
                  <c:v>New Zealand</c:v>
                </c:pt>
                <c:pt idx="4">
                  <c:v>UK</c:v>
                </c:pt>
                <c:pt idx="5">
                  <c:v>USA</c:v>
                </c:pt>
              </c:strCache>
            </c:strRef>
          </c:cat>
          <c:val>
            <c:numRef>
              <c:f>'Pivote Tables'!$E$2:$E$8</c:f>
              <c:numCache>
                <c:formatCode>0.00%</c:formatCode>
                <c:ptCount val="6"/>
                <c:pt idx="0">
                  <c:v>0.8947037650688453</c:v>
                </c:pt>
                <c:pt idx="1">
                  <c:v>0.95952693823915902</c:v>
                </c:pt>
                <c:pt idx="2">
                  <c:v>0.99234219946531343</c:v>
                </c:pt>
                <c:pt idx="3">
                  <c:v>0.92120596037983804</c:v>
                </c:pt>
                <c:pt idx="4">
                  <c:v>0.94365965834428389</c:v>
                </c:pt>
                <c:pt idx="5">
                  <c:v>1.2592666055091366</c:v>
                </c:pt>
              </c:numCache>
            </c:numRef>
          </c:val>
          <c:extLst>
            <c:ext xmlns:c16="http://schemas.microsoft.com/office/drawing/2014/chart" uri="{C3380CC4-5D6E-409C-BE32-E72D297353CC}">
              <c16:uniqueId val="{0000000C-D7B9-4215-B2DA-29C28D0BEBF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Tables'!$H$1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Tables'!$G$2:$G$12</c:f>
              <c:strCache>
                <c:ptCount val="10"/>
                <c:pt idx="0">
                  <c:v>70% Dark Bites</c:v>
                </c:pt>
                <c:pt idx="1">
                  <c:v>After Nines</c:v>
                </c:pt>
                <c:pt idx="2">
                  <c:v>Baker's Choco Chips</c:v>
                </c:pt>
                <c:pt idx="3">
                  <c:v>Caramel Stuffed Bars</c:v>
                </c:pt>
                <c:pt idx="4">
                  <c:v>Eclairs</c:v>
                </c:pt>
                <c:pt idx="5">
                  <c:v>Fruit &amp; Nut Bars</c:v>
                </c:pt>
                <c:pt idx="6">
                  <c:v>Manuka Honey Choco</c:v>
                </c:pt>
                <c:pt idx="7">
                  <c:v>Mint Chip Choco</c:v>
                </c:pt>
                <c:pt idx="8">
                  <c:v>Organic Choco Syrup</c:v>
                </c:pt>
                <c:pt idx="9">
                  <c:v>White Choc</c:v>
                </c:pt>
              </c:strCache>
            </c:strRef>
          </c:cat>
          <c:val>
            <c:numRef>
              <c:f>'Pivote Tables'!$H$2:$H$12</c:f>
              <c:numCache>
                <c:formatCode>General</c:formatCode>
                <c:ptCount val="10"/>
                <c:pt idx="0">
                  <c:v>16</c:v>
                </c:pt>
                <c:pt idx="1">
                  <c:v>16</c:v>
                </c:pt>
                <c:pt idx="2">
                  <c:v>17</c:v>
                </c:pt>
                <c:pt idx="3">
                  <c:v>15</c:v>
                </c:pt>
                <c:pt idx="4">
                  <c:v>17</c:v>
                </c:pt>
                <c:pt idx="5">
                  <c:v>15</c:v>
                </c:pt>
                <c:pt idx="6">
                  <c:v>17</c:v>
                </c:pt>
                <c:pt idx="7">
                  <c:v>15</c:v>
                </c:pt>
                <c:pt idx="8">
                  <c:v>18</c:v>
                </c:pt>
                <c:pt idx="9">
                  <c:v>17</c:v>
                </c:pt>
              </c:numCache>
            </c:numRef>
          </c:val>
          <c:smooth val="0"/>
          <c:extLst>
            <c:ext xmlns:c16="http://schemas.microsoft.com/office/drawing/2014/chart" uri="{C3380CC4-5D6E-409C-BE32-E72D297353CC}">
              <c16:uniqueId val="{00000000-4B6F-4F9F-8A19-20FD50C7C8ED}"/>
            </c:ext>
          </c:extLst>
        </c:ser>
        <c:dLbls>
          <c:dLblPos val="t"/>
          <c:showLegendKey val="0"/>
          <c:showVal val="1"/>
          <c:showCatName val="0"/>
          <c:showSerName val="0"/>
          <c:showPercent val="0"/>
          <c:showBubbleSize val="0"/>
        </c:dLbls>
        <c:marker val="1"/>
        <c:smooth val="0"/>
        <c:axId val="416993328"/>
        <c:axId val="416987568"/>
      </c:lineChart>
      <c:catAx>
        <c:axId val="41699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987568"/>
        <c:crosses val="autoZero"/>
        <c:auto val="1"/>
        <c:lblAlgn val="ctr"/>
        <c:lblOffset val="100"/>
        <c:noMultiLvlLbl val="0"/>
      </c:catAx>
      <c:valAx>
        <c:axId val="41698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69933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Tables!PivotTable6</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Geography  Distribution By Profit Percentage</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62665243767607"/>
          <c:y val="0.34597701149425286"/>
          <c:w val="0.7499334217838155"/>
          <c:h val="0.50588590219326035"/>
        </c:manualLayout>
      </c:layout>
      <c:barChart>
        <c:barDir val="bar"/>
        <c:grouping val="stacked"/>
        <c:varyColors val="0"/>
        <c:ser>
          <c:idx val="0"/>
          <c:order val="0"/>
          <c:tx>
            <c:strRef>
              <c:f>'Pivote Tables'!$K$1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Tables'!$J$2:$J$8</c:f>
              <c:strCache>
                <c:ptCount val="6"/>
                <c:pt idx="0">
                  <c:v>Australia</c:v>
                </c:pt>
                <c:pt idx="1">
                  <c:v>Canada</c:v>
                </c:pt>
                <c:pt idx="2">
                  <c:v>India</c:v>
                </c:pt>
                <c:pt idx="3">
                  <c:v>New Zealand</c:v>
                </c:pt>
                <c:pt idx="4">
                  <c:v>UK</c:v>
                </c:pt>
                <c:pt idx="5">
                  <c:v>USA</c:v>
                </c:pt>
              </c:strCache>
            </c:strRef>
          </c:cat>
          <c:val>
            <c:numRef>
              <c:f>'Pivote Tables'!$K$2:$K$8</c:f>
              <c:numCache>
                <c:formatCode>0.00%</c:formatCode>
                <c:ptCount val="6"/>
                <c:pt idx="0">
                  <c:v>0.13479650709272512</c:v>
                </c:pt>
                <c:pt idx="1">
                  <c:v>0.21179669957485803</c:v>
                </c:pt>
                <c:pt idx="2">
                  <c:v>0.21442217533967742</c:v>
                </c:pt>
                <c:pt idx="3">
                  <c:v>0.18709003699074475</c:v>
                </c:pt>
                <c:pt idx="4">
                  <c:v>0.1492719099019357</c:v>
                </c:pt>
                <c:pt idx="5">
                  <c:v>0.10262267110005906</c:v>
                </c:pt>
              </c:numCache>
            </c:numRef>
          </c:val>
          <c:extLst>
            <c:ext xmlns:c16="http://schemas.microsoft.com/office/drawing/2014/chart" uri="{C3380CC4-5D6E-409C-BE32-E72D297353CC}">
              <c16:uniqueId val="{00000000-E17F-47CB-AF39-2979B09C3D3B}"/>
            </c:ext>
          </c:extLst>
        </c:ser>
        <c:dLbls>
          <c:showLegendKey val="0"/>
          <c:showVal val="0"/>
          <c:showCatName val="0"/>
          <c:showSerName val="0"/>
          <c:showPercent val="0"/>
          <c:showBubbleSize val="0"/>
        </c:dLbls>
        <c:gapWidth val="150"/>
        <c:overlap val="100"/>
        <c:axId val="416952048"/>
        <c:axId val="416949648"/>
      </c:barChart>
      <c:catAx>
        <c:axId val="416952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949648"/>
        <c:crosses val="autoZero"/>
        <c:auto val="1"/>
        <c:lblAlgn val="ctr"/>
        <c:lblOffset val="100"/>
        <c:noMultiLvlLbl val="0"/>
      </c:catAx>
      <c:valAx>
        <c:axId val="4169496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9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Tables!Country2</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Geography</a:t>
            </a:r>
            <a:r>
              <a:rPr lang="en-US" sz="1400" baseline="0"/>
              <a:t> Distribution By Amount</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581573896353169E-2"/>
              <c:y val="-7.722007722007727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372360844529747E-2"/>
              <c:y val="-1.287001287001286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969289827255222E-2"/>
              <c:y val="4.504504504504504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2770313499680138E-2"/>
              <c:y val="3.217503217503217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173384516954607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38259756877796E-2"/>
              <c:y val="-8.365508365508365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43491468556833"/>
          <c:y val="0.31382715674054251"/>
          <c:w val="0.38043032528803389"/>
          <c:h val="0.68617284325945749"/>
        </c:manualLayout>
      </c:layout>
      <c:doughnutChart>
        <c:varyColors val="1"/>
        <c:ser>
          <c:idx val="0"/>
          <c:order val="0"/>
          <c:tx>
            <c:strRef>
              <c:f>'Pivote Tables'!$N$4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6E-4DBB-B766-3E486CF233D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6E-4DBB-B766-3E486CF233D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6E-4DBB-B766-3E486CF233D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6E-4DBB-B766-3E486CF233D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6E-4DBB-B766-3E486CF233D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06E-4DBB-B766-3E486CF233D7}"/>
              </c:ext>
            </c:extLst>
          </c:dPt>
          <c:dLbls>
            <c:dLbl>
              <c:idx val="0"/>
              <c:layout>
                <c:manualLayout>
                  <c:x val="5.7581573896353169E-2"/>
                  <c:y val="-7.7220077220077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6E-4DBB-B766-3E486CF233D7}"/>
                </c:ext>
              </c:extLst>
            </c:dLbl>
            <c:dLbl>
              <c:idx val="1"/>
              <c:layout>
                <c:manualLayout>
                  <c:x val="8.6372360844529747E-2"/>
                  <c:y val="-1.28700128700128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6E-4DBB-B766-3E486CF233D7}"/>
                </c:ext>
              </c:extLst>
            </c:dLbl>
            <c:dLbl>
              <c:idx val="2"/>
              <c:layout>
                <c:manualLayout>
                  <c:x val="9.5969289827255222E-2"/>
                  <c:y val="4.5045045045045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6E-4DBB-B766-3E486CF233D7}"/>
                </c:ext>
              </c:extLst>
            </c:dLbl>
            <c:dLbl>
              <c:idx val="3"/>
              <c:layout>
                <c:manualLayout>
                  <c:x val="-9.2770313499680138E-2"/>
                  <c:y val="3.2175032175032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6E-4DBB-B766-3E486CF233D7}"/>
                </c:ext>
              </c:extLst>
            </c:dLbl>
            <c:dLbl>
              <c:idx val="4"/>
              <c:layout>
                <c:manualLayout>
                  <c:x val="-8.31733845169546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6E-4DBB-B766-3E486CF233D7}"/>
                </c:ext>
              </c:extLst>
            </c:dLbl>
            <c:dLbl>
              <c:idx val="5"/>
              <c:layout>
                <c:manualLayout>
                  <c:x val="-5.438259756877796E-2"/>
                  <c:y val="-8.3655083655083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6E-4DBB-B766-3E486CF233D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'Pivote Tables'!$M$5:$M$11</c:f>
              <c:strCache>
                <c:ptCount val="6"/>
                <c:pt idx="0">
                  <c:v>Australia</c:v>
                </c:pt>
                <c:pt idx="1">
                  <c:v>Canada</c:v>
                </c:pt>
                <c:pt idx="2">
                  <c:v>India</c:v>
                </c:pt>
                <c:pt idx="3">
                  <c:v>New Zealand</c:v>
                </c:pt>
                <c:pt idx="4">
                  <c:v>UK</c:v>
                </c:pt>
                <c:pt idx="5">
                  <c:v>USA</c:v>
                </c:pt>
              </c:strCache>
            </c:strRef>
          </c:cat>
          <c:val>
            <c:numRef>
              <c:f>'Pivote Tables'!$N$5:$N$11</c:f>
              <c:numCache>
                <c:formatCode>0.00%</c:formatCode>
                <c:ptCount val="6"/>
                <c:pt idx="0">
                  <c:v>0.13593618665628684</c:v>
                </c:pt>
                <c:pt idx="1">
                  <c:v>0.19175593878161193</c:v>
                </c:pt>
                <c:pt idx="2">
                  <c:v>0.20346144516463865</c:v>
                </c:pt>
                <c:pt idx="3">
                  <c:v>0.17633851760338923</c:v>
                </c:pt>
                <c:pt idx="4">
                  <c:v>0.13984554372782301</c:v>
                </c:pt>
                <c:pt idx="5">
                  <c:v>0.15266236806625036</c:v>
                </c:pt>
              </c:numCache>
            </c:numRef>
          </c:val>
          <c:extLst>
            <c:ext xmlns:c16="http://schemas.microsoft.com/office/drawing/2014/chart" uri="{C3380CC4-5D6E-409C-BE32-E72D297353CC}">
              <c16:uniqueId val="{0000000C-206E-4DBB-B766-3E486CF233D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[Practise_Excel.xlsx]Pivote Tables!PivotTable7</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Person Vs Amount By Geography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 Tables'!$G$14:$G$16</c:f>
              <c:strCache>
                <c:ptCount val="1"/>
                <c:pt idx="0">
                  <c:v>Sum of Amount - Australia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'Pivote Tables'!$F$17:$F$18</c:f>
              <c:strCache>
                <c:ptCount val="1"/>
                <c:pt idx="0">
                  <c:v>Carla Molina</c:v>
                </c:pt>
              </c:strCache>
            </c:strRef>
          </c:cat>
          <c:val>
            <c:numRef>
              <c:f>'Pivote Tables'!$G$17:$G$18</c:f>
              <c:numCache>
                <c:formatCode>"$"#,##0_);[Red]\("$"#,##0\)</c:formatCode>
                <c:ptCount val="1"/>
                <c:pt idx="0">
                  <c:v>6069</c:v>
                </c:pt>
              </c:numCache>
            </c:numRef>
          </c:val>
          <c:smooth val="0"/>
          <c:extLst>
            <c:ext xmlns:c16="http://schemas.microsoft.com/office/drawing/2014/chart" uri="{C3380CC4-5D6E-409C-BE32-E72D297353CC}">
              <c16:uniqueId val="{00000000-D7F4-4926-B3A9-43B75ED6DD37}"/>
            </c:ext>
          </c:extLst>
        </c:ser>
        <c:ser>
          <c:idx val="1"/>
          <c:order val="1"/>
          <c:tx>
            <c:strRef>
              <c:f>'Pivote Tables'!$H$14:$H$16</c:f>
              <c:strCache>
                <c:ptCount val="1"/>
                <c:pt idx="0">
                  <c:v>Sum of Amount - Canada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'Pivote Tables'!$F$17:$F$18</c:f>
              <c:strCache>
                <c:ptCount val="1"/>
                <c:pt idx="0">
                  <c:v>Carla Molina</c:v>
                </c:pt>
              </c:strCache>
            </c:strRef>
          </c:cat>
          <c:val>
            <c:numRef>
              <c:f>'Pivote Tables'!$H$17:$H$18</c:f>
              <c:numCache>
                <c:formatCode>"$"#,##0_);[Red]\("$"#,##0\)</c:formatCode>
                <c:ptCount val="1"/>
                <c:pt idx="0">
                  <c:v>39242</c:v>
                </c:pt>
              </c:numCache>
            </c:numRef>
          </c:val>
          <c:smooth val="0"/>
          <c:extLst>
            <c:ext xmlns:c16="http://schemas.microsoft.com/office/drawing/2014/chart" uri="{C3380CC4-5D6E-409C-BE32-E72D297353CC}">
              <c16:uniqueId val="{00000001-D7F4-4926-B3A9-43B75ED6DD37}"/>
            </c:ext>
          </c:extLst>
        </c:ser>
        <c:ser>
          <c:idx val="2"/>
          <c:order val="2"/>
          <c:tx>
            <c:strRef>
              <c:f>'Pivote Tables'!$I$14:$I$16</c:f>
              <c:strCache>
                <c:ptCount val="1"/>
                <c:pt idx="0">
                  <c:v>Sum of Amount - India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'Pivote Tables'!$F$17:$F$18</c:f>
              <c:strCache>
                <c:ptCount val="1"/>
                <c:pt idx="0">
                  <c:v>Carla Molina</c:v>
                </c:pt>
              </c:strCache>
            </c:strRef>
          </c:cat>
          <c:val>
            <c:numRef>
              <c:f>'Pivote Tables'!$I$17:$I$18</c:f>
              <c:numCache>
                <c:formatCode>"$"#,##0_);[Red]\("$"#,##0\)</c:formatCode>
                <c:ptCount val="1"/>
                <c:pt idx="0">
                  <c:v>15855</c:v>
                </c:pt>
              </c:numCache>
            </c:numRef>
          </c:val>
          <c:smooth val="0"/>
          <c:extLst>
            <c:ext xmlns:c16="http://schemas.microsoft.com/office/drawing/2014/chart" uri="{C3380CC4-5D6E-409C-BE32-E72D297353CC}">
              <c16:uniqueId val="{0000000B-1BC7-40BC-9D29-BB628FAD4193}"/>
            </c:ext>
          </c:extLst>
        </c:ser>
        <c:ser>
          <c:idx val="3"/>
          <c:order val="3"/>
          <c:tx>
            <c:strRef>
              <c:f>'Pivote Tables'!$J$14:$J$16</c:f>
              <c:strCache>
                <c:ptCount val="1"/>
                <c:pt idx="0">
                  <c:v>Sum of Amount - New Zealand</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'Pivote Tables'!$F$17:$F$18</c:f>
              <c:strCache>
                <c:ptCount val="1"/>
                <c:pt idx="0">
                  <c:v>Carla Molina</c:v>
                </c:pt>
              </c:strCache>
            </c:strRef>
          </c:cat>
          <c:val>
            <c:numRef>
              <c:f>'Pivote Tables'!$J$17:$J$18</c:f>
              <c:numCache>
                <c:formatCode>"$"#,##0_);[Red]\("$"#,##0\)</c:formatCode>
                <c:ptCount val="1"/>
                <c:pt idx="0">
                  <c:v>17283</c:v>
                </c:pt>
              </c:numCache>
            </c:numRef>
          </c:val>
          <c:smooth val="0"/>
          <c:extLst>
            <c:ext xmlns:c16="http://schemas.microsoft.com/office/drawing/2014/chart" uri="{C3380CC4-5D6E-409C-BE32-E72D297353CC}">
              <c16:uniqueId val="{0000000C-1BC7-40BC-9D29-BB628FAD4193}"/>
            </c:ext>
          </c:extLst>
        </c:ser>
        <c:ser>
          <c:idx val="4"/>
          <c:order val="4"/>
          <c:tx>
            <c:strRef>
              <c:f>'Pivote Tables'!$K$14:$K$16</c:f>
              <c:strCache>
                <c:ptCount val="1"/>
                <c:pt idx="0">
                  <c:v>Sum of Amount - UK</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'Pivote Tables'!$F$17:$F$18</c:f>
              <c:strCache>
                <c:ptCount val="1"/>
                <c:pt idx="0">
                  <c:v>Carla Molina</c:v>
                </c:pt>
              </c:strCache>
            </c:strRef>
          </c:cat>
          <c:val>
            <c:numRef>
              <c:f>'Pivote Tables'!$K$17:$K$18</c:f>
              <c:numCache>
                <c:formatCode>"$"#,##0_);[Red]\("$"#,##0\)</c:formatCode>
                <c:ptCount val="1"/>
                <c:pt idx="0">
                  <c:v>3976</c:v>
                </c:pt>
              </c:numCache>
            </c:numRef>
          </c:val>
          <c:smooth val="0"/>
          <c:extLst>
            <c:ext xmlns:c16="http://schemas.microsoft.com/office/drawing/2014/chart" uri="{C3380CC4-5D6E-409C-BE32-E72D297353CC}">
              <c16:uniqueId val="{0000000D-1BC7-40BC-9D29-BB628FAD4193}"/>
            </c:ext>
          </c:extLst>
        </c:ser>
        <c:ser>
          <c:idx val="5"/>
          <c:order val="5"/>
          <c:tx>
            <c:strRef>
              <c:f>'Pivote Tables'!$L$14:$L$16</c:f>
              <c:strCache>
                <c:ptCount val="1"/>
                <c:pt idx="0">
                  <c:v>Sum of Amount - USA</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'Pivote Tables'!$F$17:$F$18</c:f>
              <c:strCache>
                <c:ptCount val="1"/>
                <c:pt idx="0">
                  <c:v>Carla Molina</c:v>
                </c:pt>
              </c:strCache>
            </c:strRef>
          </c:cat>
          <c:val>
            <c:numRef>
              <c:f>'Pivote Tables'!$L$17:$L$18</c:f>
              <c:numCache>
                <c:formatCode>"$"#,##0_);[Red]\("$"#,##0\)</c:formatCode>
                <c:ptCount val="1"/>
                <c:pt idx="0">
                  <c:v>15785</c:v>
                </c:pt>
              </c:numCache>
            </c:numRef>
          </c:val>
          <c:smooth val="0"/>
          <c:extLst>
            <c:ext xmlns:c16="http://schemas.microsoft.com/office/drawing/2014/chart" uri="{C3380CC4-5D6E-409C-BE32-E72D297353CC}">
              <c16:uniqueId val="{0000000E-1BC7-40BC-9D29-BB628FAD4193}"/>
            </c:ext>
          </c:extLst>
        </c:ser>
        <c:ser>
          <c:idx val="6"/>
          <c:order val="6"/>
          <c:tx>
            <c:strRef>
              <c:f>'Pivote Tables'!$M$14:$M$16</c:f>
              <c:strCache>
                <c:ptCount val="1"/>
                <c:pt idx="0">
                  <c:v>Count of Geography - Australia</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'Pivote Tables'!$F$17:$F$18</c:f>
              <c:strCache>
                <c:ptCount val="1"/>
                <c:pt idx="0">
                  <c:v>Carla Molina</c:v>
                </c:pt>
              </c:strCache>
            </c:strRef>
          </c:cat>
          <c:val>
            <c:numRef>
              <c:f>'Pivote Tables'!$M$17:$M$18</c:f>
              <c:numCache>
                <c:formatCode>General</c:formatCode>
                <c:ptCount val="1"/>
                <c:pt idx="0">
                  <c:v>2</c:v>
                </c:pt>
              </c:numCache>
            </c:numRef>
          </c:val>
          <c:smooth val="0"/>
          <c:extLst>
            <c:ext xmlns:c16="http://schemas.microsoft.com/office/drawing/2014/chart" uri="{C3380CC4-5D6E-409C-BE32-E72D297353CC}">
              <c16:uniqueId val="{0000000F-1BC7-40BC-9D29-BB628FAD4193}"/>
            </c:ext>
          </c:extLst>
        </c:ser>
        <c:ser>
          <c:idx val="7"/>
          <c:order val="7"/>
          <c:tx>
            <c:strRef>
              <c:f>'Pivote Tables'!$N$14:$N$16</c:f>
              <c:strCache>
                <c:ptCount val="1"/>
                <c:pt idx="0">
                  <c:v>Count of Geography - Canada</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'Pivote Tables'!$F$17:$F$18</c:f>
              <c:strCache>
                <c:ptCount val="1"/>
                <c:pt idx="0">
                  <c:v>Carla Molina</c:v>
                </c:pt>
              </c:strCache>
            </c:strRef>
          </c:cat>
          <c:val>
            <c:numRef>
              <c:f>'Pivote Tables'!$N$17:$N$18</c:f>
              <c:numCache>
                <c:formatCode>General</c:formatCode>
                <c:ptCount val="1"/>
                <c:pt idx="0">
                  <c:v>7</c:v>
                </c:pt>
              </c:numCache>
            </c:numRef>
          </c:val>
          <c:smooth val="0"/>
          <c:extLst>
            <c:ext xmlns:c16="http://schemas.microsoft.com/office/drawing/2014/chart" uri="{C3380CC4-5D6E-409C-BE32-E72D297353CC}">
              <c16:uniqueId val="{00000010-1BC7-40BC-9D29-BB628FAD4193}"/>
            </c:ext>
          </c:extLst>
        </c:ser>
        <c:ser>
          <c:idx val="8"/>
          <c:order val="8"/>
          <c:tx>
            <c:strRef>
              <c:f>'Pivote Tables'!$O$14:$O$16</c:f>
              <c:strCache>
                <c:ptCount val="1"/>
                <c:pt idx="0">
                  <c:v>Count of Geography - India</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'Pivote Tables'!$F$17:$F$18</c:f>
              <c:strCache>
                <c:ptCount val="1"/>
                <c:pt idx="0">
                  <c:v>Carla Molina</c:v>
                </c:pt>
              </c:strCache>
            </c:strRef>
          </c:cat>
          <c:val>
            <c:numRef>
              <c:f>'Pivote Tables'!$O$17:$O$18</c:f>
              <c:numCache>
                <c:formatCode>General</c:formatCode>
                <c:ptCount val="1"/>
                <c:pt idx="0">
                  <c:v>5</c:v>
                </c:pt>
              </c:numCache>
            </c:numRef>
          </c:val>
          <c:smooth val="0"/>
          <c:extLst>
            <c:ext xmlns:c16="http://schemas.microsoft.com/office/drawing/2014/chart" uri="{C3380CC4-5D6E-409C-BE32-E72D297353CC}">
              <c16:uniqueId val="{00000011-1BC7-40BC-9D29-BB628FAD4193}"/>
            </c:ext>
          </c:extLst>
        </c:ser>
        <c:ser>
          <c:idx val="9"/>
          <c:order val="9"/>
          <c:tx>
            <c:strRef>
              <c:f>'Pivote Tables'!$P$14:$P$16</c:f>
              <c:strCache>
                <c:ptCount val="1"/>
                <c:pt idx="0">
                  <c:v>Count of Geography - New Zealand</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'Pivote Tables'!$F$17:$F$18</c:f>
              <c:strCache>
                <c:ptCount val="1"/>
                <c:pt idx="0">
                  <c:v>Carla Molina</c:v>
                </c:pt>
              </c:strCache>
            </c:strRef>
          </c:cat>
          <c:val>
            <c:numRef>
              <c:f>'Pivote Tables'!$P$17:$P$18</c:f>
              <c:numCache>
                <c:formatCode>General</c:formatCode>
                <c:ptCount val="1"/>
                <c:pt idx="0">
                  <c:v>6</c:v>
                </c:pt>
              </c:numCache>
            </c:numRef>
          </c:val>
          <c:smooth val="0"/>
          <c:extLst>
            <c:ext xmlns:c16="http://schemas.microsoft.com/office/drawing/2014/chart" uri="{C3380CC4-5D6E-409C-BE32-E72D297353CC}">
              <c16:uniqueId val="{00000012-1BC7-40BC-9D29-BB628FAD4193}"/>
            </c:ext>
          </c:extLst>
        </c:ser>
        <c:ser>
          <c:idx val="10"/>
          <c:order val="10"/>
          <c:tx>
            <c:strRef>
              <c:f>'Pivote Tables'!$Q$14:$Q$16</c:f>
              <c:strCache>
                <c:ptCount val="1"/>
                <c:pt idx="0">
                  <c:v>Count of Geography - UK</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'Pivote Tables'!$F$17:$F$18</c:f>
              <c:strCache>
                <c:ptCount val="1"/>
                <c:pt idx="0">
                  <c:v>Carla Molina</c:v>
                </c:pt>
              </c:strCache>
            </c:strRef>
          </c:cat>
          <c:val>
            <c:numRef>
              <c:f>'Pivote Tables'!$Q$17:$Q$18</c:f>
              <c:numCache>
                <c:formatCode>General</c:formatCode>
                <c:ptCount val="1"/>
                <c:pt idx="0">
                  <c:v>1</c:v>
                </c:pt>
              </c:numCache>
            </c:numRef>
          </c:val>
          <c:smooth val="0"/>
          <c:extLst>
            <c:ext xmlns:c16="http://schemas.microsoft.com/office/drawing/2014/chart" uri="{C3380CC4-5D6E-409C-BE32-E72D297353CC}">
              <c16:uniqueId val="{00000013-1BC7-40BC-9D29-BB628FAD4193}"/>
            </c:ext>
          </c:extLst>
        </c:ser>
        <c:ser>
          <c:idx val="11"/>
          <c:order val="11"/>
          <c:tx>
            <c:strRef>
              <c:f>'Pivote Tables'!$R$14:$R$16</c:f>
              <c:strCache>
                <c:ptCount val="1"/>
                <c:pt idx="0">
                  <c:v>Count of Geography - USA</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'Pivote Tables'!$F$17:$F$18</c:f>
              <c:strCache>
                <c:ptCount val="1"/>
                <c:pt idx="0">
                  <c:v>Carla Molina</c:v>
                </c:pt>
              </c:strCache>
            </c:strRef>
          </c:cat>
          <c:val>
            <c:numRef>
              <c:f>'Pivote Tables'!$R$17:$R$18</c:f>
              <c:numCache>
                <c:formatCode>General</c:formatCode>
                <c:ptCount val="1"/>
                <c:pt idx="0">
                  <c:v>5</c:v>
                </c:pt>
              </c:numCache>
            </c:numRef>
          </c:val>
          <c:smooth val="0"/>
          <c:extLst>
            <c:ext xmlns:c16="http://schemas.microsoft.com/office/drawing/2014/chart" uri="{C3380CC4-5D6E-409C-BE32-E72D297353CC}">
              <c16:uniqueId val="{00000014-1BC7-40BC-9D29-BB628FAD4193}"/>
            </c:ext>
          </c:extLst>
        </c:ser>
        <c:dLbls>
          <c:showLegendKey val="0"/>
          <c:showVal val="0"/>
          <c:showCatName val="0"/>
          <c:showSerName val="0"/>
          <c:showPercent val="0"/>
          <c:showBubbleSize val="0"/>
        </c:dLbls>
        <c:marker val="1"/>
        <c:smooth val="0"/>
        <c:axId val="1864859952"/>
        <c:axId val="1864854192"/>
      </c:lineChart>
      <c:catAx>
        <c:axId val="186485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4854192"/>
        <c:crosses val="autoZero"/>
        <c:auto val="1"/>
        <c:lblAlgn val="ctr"/>
        <c:lblOffset val="100"/>
        <c:noMultiLvlLbl val="0"/>
      </c:catAx>
      <c:valAx>
        <c:axId val="1864854192"/>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48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Country Vs Amount</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Country Vs Amount</a:t>
          </a:r>
        </a:p>
      </cx:txPr>
    </cx:title>
    <cx:plotArea>
      <cx:plotAreaRegion>
        <cx:series layoutId="boxWhisker" uniqueId="{BFABAC0D-3182-4BBB-9E4A-660B704EFBD1}">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99647</xdr:colOff>
      <xdr:row>2</xdr:row>
      <xdr:rowOff>0</xdr:rowOff>
    </xdr:from>
    <xdr:to>
      <xdr:col>8</xdr:col>
      <xdr:colOff>474007</xdr:colOff>
      <xdr:row>2</xdr:row>
      <xdr:rowOff>181707</xdr:rowOff>
    </xdr:to>
    <xdr:pic>
      <xdr:nvPicPr>
        <xdr:cNvPr id="3" name="Picture 2">
          <a:extLst>
            <a:ext uri="{FF2B5EF4-FFF2-40B4-BE49-F238E27FC236}">
              <a16:creationId xmlns:a16="http://schemas.microsoft.com/office/drawing/2014/main" id="{2AB120C4-B315-3B7B-F20B-4C09FACC8CA8}"/>
            </a:ext>
          </a:extLst>
        </xdr:cNvPr>
        <xdr:cNvPicPr>
          <a:picLocks noChangeAspect="1"/>
        </xdr:cNvPicPr>
      </xdr:nvPicPr>
      <xdr:blipFill>
        <a:blip xmlns:r="http://schemas.openxmlformats.org/officeDocument/2006/relationships" r:embed="rId1"/>
        <a:stretch>
          <a:fillRect/>
        </a:stretch>
      </xdr:blipFill>
      <xdr:spPr>
        <a:xfrm>
          <a:off x="5586047" y="1195754"/>
          <a:ext cx="374360" cy="1817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220980</xdr:colOff>
      <xdr:row>1</xdr:row>
      <xdr:rowOff>171450</xdr:rowOff>
    </xdr:from>
    <xdr:to>
      <xdr:col>16</xdr:col>
      <xdr:colOff>365760</xdr:colOff>
      <xdr:row>20</xdr:row>
      <xdr:rowOff>22860</xdr:rowOff>
    </xdr:to>
    <xdr:graphicFrame macro="">
      <xdr:nvGraphicFramePr>
        <xdr:cNvPr id="3" name="Chart 2">
          <a:extLst>
            <a:ext uri="{FF2B5EF4-FFF2-40B4-BE49-F238E27FC236}">
              <a16:creationId xmlns:a16="http://schemas.microsoft.com/office/drawing/2014/main" id="{66D4F006-669E-ED42-0E12-EEA8C9D52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236220</xdr:colOff>
      <xdr:row>20</xdr:row>
      <xdr:rowOff>167640</xdr:rowOff>
    </xdr:from>
    <xdr:to>
      <xdr:col>16</xdr:col>
      <xdr:colOff>403860</xdr:colOff>
      <xdr:row>39</xdr:row>
      <xdr:rowOff>7620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CEB3EC2-B040-7191-7277-B6FC1496A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72000" y="3939540"/>
              <a:ext cx="7315200" cy="3314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246467</xdr:colOff>
      <xdr:row>1</xdr:row>
      <xdr:rowOff>172896</xdr:rowOff>
    </xdr:from>
    <xdr:to>
      <xdr:col>9</xdr:col>
      <xdr:colOff>472965</xdr:colOff>
      <xdr:row>9</xdr:row>
      <xdr:rowOff>173422</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625ABFDD-439F-61E1-C322-35EFA3D89AA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077488" y="472441"/>
              <a:ext cx="3274498" cy="1471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346316</xdr:colOff>
      <xdr:row>1</xdr:row>
      <xdr:rowOff>178151</xdr:rowOff>
    </xdr:from>
    <xdr:to>
      <xdr:col>8</xdr:col>
      <xdr:colOff>57282</xdr:colOff>
      <xdr:row>10</xdr:row>
      <xdr:rowOff>136634</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BE0E075C-32D0-45D0-E748-7EFF9DB8AB8C}"/>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902550" y="4671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13</xdr:row>
      <xdr:rowOff>30480</xdr:rowOff>
    </xdr:from>
    <xdr:to>
      <xdr:col>4</xdr:col>
      <xdr:colOff>15240</xdr:colOff>
      <xdr:row>26</xdr:row>
      <xdr:rowOff>83820</xdr:rowOff>
    </xdr:to>
    <xdr:graphicFrame macro="">
      <xdr:nvGraphicFramePr>
        <xdr:cNvPr id="2" name="Chart 1">
          <a:extLst>
            <a:ext uri="{FF2B5EF4-FFF2-40B4-BE49-F238E27FC236}">
              <a16:creationId xmlns:a16="http://schemas.microsoft.com/office/drawing/2014/main" id="{BF3DD890-B3C4-1B9E-92CD-9535DF5A2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27</xdr:row>
      <xdr:rowOff>144780</xdr:rowOff>
    </xdr:from>
    <xdr:to>
      <xdr:col>4</xdr:col>
      <xdr:colOff>38100</xdr:colOff>
      <xdr:row>41</xdr:row>
      <xdr:rowOff>152400</xdr:rowOff>
    </xdr:to>
    <xdr:graphicFrame macro="">
      <xdr:nvGraphicFramePr>
        <xdr:cNvPr id="3" name="Chart 2">
          <a:extLst>
            <a:ext uri="{FF2B5EF4-FFF2-40B4-BE49-F238E27FC236}">
              <a16:creationId xmlns:a16="http://schemas.microsoft.com/office/drawing/2014/main" id="{B36CAD39-7DFB-0E03-C665-2EE7160DA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42</xdr:row>
      <xdr:rowOff>30480</xdr:rowOff>
    </xdr:from>
    <xdr:to>
      <xdr:col>4</xdr:col>
      <xdr:colOff>53340</xdr:colOff>
      <xdr:row>55</xdr:row>
      <xdr:rowOff>152400</xdr:rowOff>
    </xdr:to>
    <xdr:graphicFrame macro="">
      <xdr:nvGraphicFramePr>
        <xdr:cNvPr id="4" name="Chart 3">
          <a:extLst>
            <a:ext uri="{FF2B5EF4-FFF2-40B4-BE49-F238E27FC236}">
              <a16:creationId xmlns:a16="http://schemas.microsoft.com/office/drawing/2014/main" id="{A7471C9B-A0E0-5BAB-4818-1078206BA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1021080</xdr:colOff>
      <xdr:row>28</xdr:row>
      <xdr:rowOff>19050</xdr:rowOff>
    </xdr:from>
    <xdr:to>
      <xdr:col>9</xdr:col>
      <xdr:colOff>114300</xdr:colOff>
      <xdr:row>41</xdr:row>
      <xdr:rowOff>0</xdr:rowOff>
    </xdr:to>
    <xdr:graphicFrame macro="">
      <xdr:nvGraphicFramePr>
        <xdr:cNvPr id="5" name="Chart 4">
          <a:extLst>
            <a:ext uri="{FF2B5EF4-FFF2-40B4-BE49-F238E27FC236}">
              <a16:creationId xmlns:a16="http://schemas.microsoft.com/office/drawing/2014/main" id="{F59CECFC-2030-BB58-2C05-ED7748898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42</xdr:row>
      <xdr:rowOff>11430</xdr:rowOff>
    </xdr:from>
    <xdr:to>
      <xdr:col>9</xdr:col>
      <xdr:colOff>15240</xdr:colOff>
      <xdr:row>55</xdr:row>
      <xdr:rowOff>106680</xdr:rowOff>
    </xdr:to>
    <xdr:graphicFrame macro="">
      <xdr:nvGraphicFramePr>
        <xdr:cNvPr id="6" name="Chart 5">
          <a:extLst>
            <a:ext uri="{FF2B5EF4-FFF2-40B4-BE49-F238E27FC236}">
              <a16:creationId xmlns:a16="http://schemas.microsoft.com/office/drawing/2014/main" id="{0B0936F6-FB89-35EC-81B4-0921F61C5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533400</xdr:colOff>
      <xdr:row>27</xdr:row>
      <xdr:rowOff>167640</xdr:rowOff>
    </xdr:from>
    <xdr:to>
      <xdr:col>12</xdr:col>
      <xdr:colOff>487680</xdr:colOff>
      <xdr:row>41</xdr:row>
      <xdr:rowOff>74295</xdr:rowOff>
    </xdr:to>
    <mc:AlternateContent xmlns:mc="http://schemas.openxmlformats.org/markup-compatibility/2006" xmlns:a14="http://schemas.microsoft.com/office/drawing/2010/main">
      <mc:Choice Requires="a14">
        <xdr:graphicFrame macro="">
          <xdr:nvGraphicFramePr>
            <xdr:cNvPr id="7" name="Geography 1">
              <a:extLst>
                <a:ext uri="{FF2B5EF4-FFF2-40B4-BE49-F238E27FC236}">
                  <a16:creationId xmlns:a16="http://schemas.microsoft.com/office/drawing/2014/main" id="{30E4966D-6934-83E9-D436-3C707A9629A3}"/>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8168640" y="510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525780</xdr:colOff>
      <xdr:row>27</xdr:row>
      <xdr:rowOff>167640</xdr:rowOff>
    </xdr:from>
    <xdr:to>
      <xdr:col>15</xdr:col>
      <xdr:colOff>198120</xdr:colOff>
      <xdr:row>41</xdr:row>
      <xdr:rowOff>74295</xdr:rowOff>
    </xdr:to>
    <mc:AlternateContent xmlns:mc="http://schemas.openxmlformats.org/markup-compatibility/2006" xmlns:a14="http://schemas.microsoft.com/office/drawing/2010/main">
      <mc:Choice Requires="a14">
        <xdr:graphicFrame macro="">
          <xdr:nvGraphicFramePr>
            <xdr:cNvPr id="8" name="Sales Person 1">
              <a:extLst>
                <a:ext uri="{FF2B5EF4-FFF2-40B4-BE49-F238E27FC236}">
                  <a16:creationId xmlns:a16="http://schemas.microsoft.com/office/drawing/2014/main" id="{8E56CD1F-24CA-E90F-3B54-AF4D4FB285D5}"/>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0241280" y="510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601980</xdr:colOff>
      <xdr:row>41</xdr:row>
      <xdr:rowOff>140970</xdr:rowOff>
    </xdr:from>
    <xdr:to>
      <xdr:col>14</xdr:col>
      <xdr:colOff>190500</xdr:colOff>
      <xdr:row>55</xdr:row>
      <xdr:rowOff>15240</xdr:rowOff>
    </xdr:to>
    <xdr:graphicFrame macro="">
      <xdr:nvGraphicFramePr>
        <xdr:cNvPr id="10" name="Chart 9">
          <a:extLst>
            <a:ext uri="{FF2B5EF4-FFF2-40B4-BE49-F238E27FC236}">
              <a16:creationId xmlns:a16="http://schemas.microsoft.com/office/drawing/2014/main" id="{332F82DF-7F4A-6C28-6F50-1C5BC8C3B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388620</xdr:colOff>
      <xdr:row>4</xdr:row>
      <xdr:rowOff>144780</xdr:rowOff>
    </xdr:to>
    <xdr:sp macro="" textlink="">
      <xdr:nvSpPr>
        <xdr:cNvPr id="2" name="Rectangle 1">
          <a:extLst>
            <a:ext uri="{FF2B5EF4-FFF2-40B4-BE49-F238E27FC236}">
              <a16:creationId xmlns:a16="http://schemas.microsoft.com/office/drawing/2014/main" id="{D2DCF98A-0F48-1709-9861-C2C4F85C58D5}"/>
            </a:ext>
          </a:extLst>
        </xdr:cNvPr>
        <xdr:cNvSpPr/>
      </xdr:nvSpPr>
      <xdr:spPr>
        <a:xfrm>
          <a:off x="0" y="0"/>
          <a:ext cx="8313420" cy="8763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586740</xdr:colOff>
      <xdr:row>0</xdr:row>
      <xdr:rowOff>15240</xdr:rowOff>
    </xdr:from>
    <xdr:to>
      <xdr:col>13</xdr:col>
      <xdr:colOff>388620</xdr:colOff>
      <xdr:row>4</xdr:row>
      <xdr:rowOff>144780</xdr:rowOff>
    </xdr:to>
    <xdr:sp macro="" textlink="">
      <xdr:nvSpPr>
        <xdr:cNvPr id="3" name="TextBox 2">
          <a:extLst>
            <a:ext uri="{FF2B5EF4-FFF2-40B4-BE49-F238E27FC236}">
              <a16:creationId xmlns:a16="http://schemas.microsoft.com/office/drawing/2014/main" id="{60DFF60E-0912-FB25-C614-8EE335774DB8}"/>
            </a:ext>
          </a:extLst>
        </xdr:cNvPr>
        <xdr:cNvSpPr txBox="1"/>
      </xdr:nvSpPr>
      <xdr:spPr>
        <a:xfrm>
          <a:off x="1805940" y="15240"/>
          <a:ext cx="6507480" cy="8610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F0000"/>
              </a:solidFill>
              <a:latin typeface="Times New Roman" panose="02020603050405020304" pitchFamily="18" charset="0"/>
              <a:cs typeface="Times New Roman" panose="02020603050405020304" pitchFamily="18" charset="0"/>
            </a:rPr>
            <a:t>CHOCOLATE</a:t>
          </a:r>
          <a:r>
            <a:rPr lang="en-IN" sz="2400" b="1" baseline="0">
              <a:solidFill>
                <a:srgbClr val="FF0000"/>
              </a:solidFill>
              <a:latin typeface="Times New Roman" panose="02020603050405020304" pitchFamily="18" charset="0"/>
              <a:cs typeface="Times New Roman" panose="02020603050405020304" pitchFamily="18" charset="0"/>
            </a:rPr>
            <a:t> SALES DATA ANALYSIS</a:t>
          </a:r>
          <a:endParaRPr lang="en-IN" sz="24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426720</xdr:colOff>
      <xdr:row>0</xdr:row>
      <xdr:rowOff>0</xdr:rowOff>
    </xdr:from>
    <xdr:to>
      <xdr:col>17</xdr:col>
      <xdr:colOff>22860</xdr:colOff>
      <xdr:row>4</xdr:row>
      <xdr:rowOff>137160</xdr:rowOff>
    </xdr:to>
    <xdr:sp macro="" textlink="">
      <xdr:nvSpPr>
        <xdr:cNvPr id="4" name="Rectangle 3">
          <a:extLst>
            <a:ext uri="{FF2B5EF4-FFF2-40B4-BE49-F238E27FC236}">
              <a16:creationId xmlns:a16="http://schemas.microsoft.com/office/drawing/2014/main" id="{A1139068-8A3E-6099-0664-7375497BBC57}"/>
            </a:ext>
          </a:extLst>
        </xdr:cNvPr>
        <xdr:cNvSpPr/>
      </xdr:nvSpPr>
      <xdr:spPr>
        <a:xfrm>
          <a:off x="8351520" y="0"/>
          <a:ext cx="2034540" cy="8686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518160</xdr:colOff>
      <xdr:row>0</xdr:row>
      <xdr:rowOff>106680</xdr:rowOff>
    </xdr:from>
    <xdr:to>
      <xdr:col>31</xdr:col>
      <xdr:colOff>510540</xdr:colOff>
      <xdr:row>5</xdr:row>
      <xdr:rowOff>60960</xdr:rowOff>
    </xdr:to>
    <xdr:sp macro="" textlink="">
      <xdr:nvSpPr>
        <xdr:cNvPr id="5" name="Rectangle 4">
          <a:extLst>
            <a:ext uri="{FF2B5EF4-FFF2-40B4-BE49-F238E27FC236}">
              <a16:creationId xmlns:a16="http://schemas.microsoft.com/office/drawing/2014/main" id="{087D3F5F-DEFF-003D-B0FB-A95707AFAEF4}"/>
            </a:ext>
          </a:extLst>
        </xdr:cNvPr>
        <xdr:cNvSpPr/>
      </xdr:nvSpPr>
      <xdr:spPr>
        <a:xfrm>
          <a:off x="16977360" y="106680"/>
          <a:ext cx="2430780" cy="8686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53340</xdr:colOff>
      <xdr:row>0</xdr:row>
      <xdr:rowOff>0</xdr:rowOff>
    </xdr:from>
    <xdr:to>
      <xdr:col>20</xdr:col>
      <xdr:colOff>129540</xdr:colOff>
      <xdr:row>4</xdr:row>
      <xdr:rowOff>137160</xdr:rowOff>
    </xdr:to>
    <xdr:sp macro="" textlink="">
      <xdr:nvSpPr>
        <xdr:cNvPr id="6" name="Rectangle 5">
          <a:extLst>
            <a:ext uri="{FF2B5EF4-FFF2-40B4-BE49-F238E27FC236}">
              <a16:creationId xmlns:a16="http://schemas.microsoft.com/office/drawing/2014/main" id="{C36E04FB-C699-AAB1-B7B7-F10F0BED9B22}"/>
            </a:ext>
          </a:extLst>
        </xdr:cNvPr>
        <xdr:cNvSpPr/>
      </xdr:nvSpPr>
      <xdr:spPr>
        <a:xfrm>
          <a:off x="10416540" y="0"/>
          <a:ext cx="1905000" cy="8686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76200</xdr:colOff>
      <xdr:row>0</xdr:row>
      <xdr:rowOff>68580</xdr:rowOff>
    </xdr:from>
    <xdr:to>
      <xdr:col>16</xdr:col>
      <xdr:colOff>472440</xdr:colOff>
      <xdr:row>2</xdr:row>
      <xdr:rowOff>60960</xdr:rowOff>
    </xdr:to>
    <xdr:sp macro="" textlink="">
      <xdr:nvSpPr>
        <xdr:cNvPr id="13" name="TextBox 12">
          <a:extLst>
            <a:ext uri="{FF2B5EF4-FFF2-40B4-BE49-F238E27FC236}">
              <a16:creationId xmlns:a16="http://schemas.microsoft.com/office/drawing/2014/main" id="{22532127-34E1-346A-67DB-34CB40687BAF}"/>
            </a:ext>
          </a:extLst>
        </xdr:cNvPr>
        <xdr:cNvSpPr txBox="1"/>
      </xdr:nvSpPr>
      <xdr:spPr>
        <a:xfrm>
          <a:off x="8610600" y="68580"/>
          <a:ext cx="1615440" cy="35814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Times New Roman" panose="02020603050405020304" pitchFamily="18" charset="0"/>
              <a:cs typeface="Times New Roman" panose="02020603050405020304" pitchFamily="18" charset="0"/>
            </a:rPr>
            <a:t>Total Units</a:t>
          </a:r>
        </a:p>
      </xdr:txBody>
    </xdr:sp>
    <xdr:clientData/>
  </xdr:twoCellAnchor>
  <xdr:twoCellAnchor>
    <xdr:from>
      <xdr:col>17</xdr:col>
      <xdr:colOff>83820</xdr:colOff>
      <xdr:row>0</xdr:row>
      <xdr:rowOff>60960</xdr:rowOff>
    </xdr:from>
    <xdr:to>
      <xdr:col>20</xdr:col>
      <xdr:colOff>22860</xdr:colOff>
      <xdr:row>2</xdr:row>
      <xdr:rowOff>45720</xdr:rowOff>
    </xdr:to>
    <xdr:sp macro="" textlink="">
      <xdr:nvSpPr>
        <xdr:cNvPr id="14" name="TextBox 13">
          <a:extLst>
            <a:ext uri="{FF2B5EF4-FFF2-40B4-BE49-F238E27FC236}">
              <a16:creationId xmlns:a16="http://schemas.microsoft.com/office/drawing/2014/main" id="{BE75104A-7AAC-4DB8-A38D-AEA8B4D93255}"/>
            </a:ext>
          </a:extLst>
        </xdr:cNvPr>
        <xdr:cNvSpPr txBox="1"/>
      </xdr:nvSpPr>
      <xdr:spPr>
        <a:xfrm>
          <a:off x="10447020" y="60960"/>
          <a:ext cx="1767840" cy="35052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Times New Roman" panose="02020603050405020304" pitchFamily="18" charset="0"/>
              <a:cs typeface="Times New Roman" panose="02020603050405020304" pitchFamily="18" charset="0"/>
            </a:rPr>
            <a:t>Total Amount</a:t>
          </a:r>
        </a:p>
      </xdr:txBody>
    </xdr:sp>
    <xdr:clientData/>
  </xdr:twoCellAnchor>
  <xdr:twoCellAnchor>
    <xdr:from>
      <xdr:col>14</xdr:col>
      <xdr:colOff>45720</xdr:colOff>
      <xdr:row>2</xdr:row>
      <xdr:rowOff>114300</xdr:rowOff>
    </xdr:from>
    <xdr:to>
      <xdr:col>16</xdr:col>
      <xdr:colOff>502920</xdr:colOff>
      <xdr:row>4</xdr:row>
      <xdr:rowOff>68580</xdr:rowOff>
    </xdr:to>
    <xdr:sp macro="" textlink="'Pivote Tables'!M2">
      <xdr:nvSpPr>
        <xdr:cNvPr id="15" name="TextBox 14">
          <a:extLst>
            <a:ext uri="{FF2B5EF4-FFF2-40B4-BE49-F238E27FC236}">
              <a16:creationId xmlns:a16="http://schemas.microsoft.com/office/drawing/2014/main" id="{460CC684-09AB-38B5-9483-AF8787ADBD14}"/>
            </a:ext>
          </a:extLst>
        </xdr:cNvPr>
        <xdr:cNvSpPr txBox="1"/>
      </xdr:nvSpPr>
      <xdr:spPr>
        <a:xfrm>
          <a:off x="8580120" y="480060"/>
          <a:ext cx="167640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F25362-CF15-4094-9228-405948EC776B}" type="TxLink">
            <a:rPr lang="en-US" sz="1800" b="0" i="0" u="none" strike="noStrike">
              <a:solidFill>
                <a:srgbClr val="000000"/>
              </a:solidFill>
              <a:latin typeface="Calibri"/>
              <a:ea typeface="Calibri"/>
              <a:cs typeface="Calibri"/>
            </a:rPr>
            <a:pPr algn="ctr"/>
            <a:t>45,660</a:t>
          </a:fld>
          <a:endParaRPr lang="en-IN" sz="1800"/>
        </a:p>
      </xdr:txBody>
    </xdr:sp>
    <xdr:clientData/>
  </xdr:twoCellAnchor>
  <xdr:twoCellAnchor>
    <xdr:from>
      <xdr:col>0</xdr:col>
      <xdr:colOff>0</xdr:colOff>
      <xdr:row>5</xdr:row>
      <xdr:rowOff>7620</xdr:rowOff>
    </xdr:from>
    <xdr:to>
      <xdr:col>6</xdr:col>
      <xdr:colOff>487680</xdr:colOff>
      <xdr:row>16</xdr:row>
      <xdr:rowOff>38100</xdr:rowOff>
    </xdr:to>
    <xdr:graphicFrame macro="">
      <xdr:nvGraphicFramePr>
        <xdr:cNvPr id="16" name="Chart 15">
          <a:extLst>
            <a:ext uri="{FF2B5EF4-FFF2-40B4-BE49-F238E27FC236}">
              <a16:creationId xmlns:a16="http://schemas.microsoft.com/office/drawing/2014/main" id="{6B616DE0-9964-416F-BEF1-ED64C04D7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5</xdr:row>
      <xdr:rowOff>15240</xdr:rowOff>
    </xdr:from>
    <xdr:to>
      <xdr:col>13</xdr:col>
      <xdr:colOff>411480</xdr:colOff>
      <xdr:row>16</xdr:row>
      <xdr:rowOff>30480</xdr:rowOff>
    </xdr:to>
    <xdr:graphicFrame macro="">
      <xdr:nvGraphicFramePr>
        <xdr:cNvPr id="17" name="Chart 16">
          <a:extLst>
            <a:ext uri="{FF2B5EF4-FFF2-40B4-BE49-F238E27FC236}">
              <a16:creationId xmlns:a16="http://schemas.microsoft.com/office/drawing/2014/main" id="{2F9DF879-B934-4F0B-8D62-69F2B4EFA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502920</xdr:colOff>
      <xdr:row>5</xdr:row>
      <xdr:rowOff>15240</xdr:rowOff>
    </xdr:from>
    <xdr:to>
      <xdr:col>20</xdr:col>
      <xdr:colOff>175260</xdr:colOff>
      <xdr:row>16</xdr:row>
      <xdr:rowOff>30480</xdr:rowOff>
    </xdr:to>
    <xdr:graphicFrame macro="">
      <xdr:nvGraphicFramePr>
        <xdr:cNvPr id="18" name="Chart 17">
          <a:extLst>
            <a:ext uri="{FF2B5EF4-FFF2-40B4-BE49-F238E27FC236}">
              <a16:creationId xmlns:a16="http://schemas.microsoft.com/office/drawing/2014/main" id="{E8C45798-2DB2-42FC-B104-D93E0005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106680</xdr:rowOff>
    </xdr:from>
    <xdr:to>
      <xdr:col>6</xdr:col>
      <xdr:colOff>502920</xdr:colOff>
      <xdr:row>27</xdr:row>
      <xdr:rowOff>83820</xdr:rowOff>
    </xdr:to>
    <xdr:graphicFrame macro="">
      <xdr:nvGraphicFramePr>
        <xdr:cNvPr id="19" name="Chart 18">
          <a:extLst>
            <a:ext uri="{FF2B5EF4-FFF2-40B4-BE49-F238E27FC236}">
              <a16:creationId xmlns:a16="http://schemas.microsoft.com/office/drawing/2014/main" id="{A532B138-374D-4AC0-B8C3-0BCB07B51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495300</xdr:colOff>
      <xdr:row>16</xdr:row>
      <xdr:rowOff>99060</xdr:rowOff>
    </xdr:from>
    <xdr:to>
      <xdr:col>20</xdr:col>
      <xdr:colOff>198120</xdr:colOff>
      <xdr:row>27</xdr:row>
      <xdr:rowOff>60960</xdr:rowOff>
    </xdr:to>
    <xdr:graphicFrame macro="">
      <xdr:nvGraphicFramePr>
        <xdr:cNvPr id="21" name="Chart 20">
          <a:extLst>
            <a:ext uri="{FF2B5EF4-FFF2-40B4-BE49-F238E27FC236}">
              <a16:creationId xmlns:a16="http://schemas.microsoft.com/office/drawing/2014/main" id="{91095C64-42A4-49B9-9340-E406D1D6A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228600</xdr:colOff>
      <xdr:row>0</xdr:row>
      <xdr:rowOff>22861</xdr:rowOff>
    </xdr:from>
    <xdr:to>
      <xdr:col>23</xdr:col>
      <xdr:colOff>121920</xdr:colOff>
      <xdr:row>12</xdr:row>
      <xdr:rowOff>99061</xdr:rowOff>
    </xdr:to>
    <mc:AlternateContent xmlns:mc="http://schemas.openxmlformats.org/markup-compatibility/2006">
      <mc:Choice xmlns:a14="http://schemas.microsoft.com/office/drawing/2010/main" Requires="a14">
        <xdr:graphicFrame macro="">
          <xdr:nvGraphicFramePr>
            <xdr:cNvPr id="22" name="Geography 2">
              <a:extLst>
                <a:ext uri="{FF2B5EF4-FFF2-40B4-BE49-F238E27FC236}">
                  <a16:creationId xmlns:a16="http://schemas.microsoft.com/office/drawing/2014/main" id="{5B622C2F-0B6D-4B70-A78B-6BEDC8EF929D}"/>
                </a:ext>
              </a:extLst>
            </xdr:cNvPr>
            <xdr:cNvGraphicFramePr/>
          </xdr:nvGraphicFramePr>
          <xdr:xfrm>
            <a:off x="0" y="0"/>
            <a:ext cx="0" cy="0"/>
          </xdr:xfrm>
          <a:graphic>
            <a:graphicData uri="http://schemas.microsoft.com/office/drawing/2010/slicer">
              <sle:slicer xmlns:sle="http://schemas.microsoft.com/office/drawing/2010/slicer" name="Geography 2"/>
            </a:graphicData>
          </a:graphic>
        </xdr:graphicFrame>
      </mc:Choice>
      <mc:Fallback>
        <xdr:sp macro="" textlink="">
          <xdr:nvSpPr>
            <xdr:cNvPr id="0" name=""/>
            <xdr:cNvSpPr>
              <a:spLocks noTextEdit="1"/>
            </xdr:cNvSpPr>
          </xdr:nvSpPr>
          <xdr:spPr>
            <a:xfrm>
              <a:off x="12420600" y="22861"/>
              <a:ext cx="172212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251460</xdr:colOff>
      <xdr:row>12</xdr:row>
      <xdr:rowOff>167640</xdr:rowOff>
    </xdr:from>
    <xdr:to>
      <xdr:col>23</xdr:col>
      <xdr:colOff>144780</xdr:colOff>
      <xdr:row>27</xdr:row>
      <xdr:rowOff>15240</xdr:rowOff>
    </xdr:to>
    <mc:AlternateContent xmlns:mc="http://schemas.openxmlformats.org/markup-compatibility/2006">
      <mc:Choice xmlns:a14="http://schemas.microsoft.com/office/drawing/2010/main" Requires="a14">
        <xdr:graphicFrame macro="">
          <xdr:nvGraphicFramePr>
            <xdr:cNvPr id="23" name="Sales Person 2">
              <a:extLst>
                <a:ext uri="{FF2B5EF4-FFF2-40B4-BE49-F238E27FC236}">
                  <a16:creationId xmlns:a16="http://schemas.microsoft.com/office/drawing/2014/main" id="{4E5CA722-AAB5-40F7-B0AE-DCEF0FE53474}"/>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dr:sp macro="" textlink="">
          <xdr:nvSpPr>
            <xdr:cNvPr id="0" name=""/>
            <xdr:cNvSpPr>
              <a:spLocks noTextEdit="1"/>
            </xdr:cNvSpPr>
          </xdr:nvSpPr>
          <xdr:spPr>
            <a:xfrm>
              <a:off x="12443460" y="2362200"/>
              <a:ext cx="172212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106680</xdr:colOff>
      <xdr:row>2</xdr:row>
      <xdr:rowOff>91440</xdr:rowOff>
    </xdr:from>
    <xdr:to>
      <xdr:col>20</xdr:col>
      <xdr:colOff>30480</xdr:colOff>
      <xdr:row>4</xdr:row>
      <xdr:rowOff>38100</xdr:rowOff>
    </xdr:to>
    <xdr:sp macro="" textlink="'Pivote Tables'!N2">
      <xdr:nvSpPr>
        <xdr:cNvPr id="24" name="TextBox 23">
          <a:extLst>
            <a:ext uri="{FF2B5EF4-FFF2-40B4-BE49-F238E27FC236}">
              <a16:creationId xmlns:a16="http://schemas.microsoft.com/office/drawing/2014/main" id="{FAAAF15A-42CA-3247-DF1E-01F4A7B4CB75}"/>
            </a:ext>
          </a:extLst>
        </xdr:cNvPr>
        <xdr:cNvSpPr txBox="1"/>
      </xdr:nvSpPr>
      <xdr:spPr>
        <a:xfrm>
          <a:off x="10469880" y="457200"/>
          <a:ext cx="175260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6951C8-5F9A-4E59-B0D6-37D2FE7D392F}" type="TxLink">
            <a:rPr lang="en-US" sz="1800" b="0" i="0" u="none" strike="noStrike">
              <a:solidFill>
                <a:srgbClr val="000000"/>
              </a:solidFill>
              <a:latin typeface="Calibri"/>
              <a:ea typeface="Calibri"/>
              <a:cs typeface="Calibri"/>
            </a:rPr>
            <a:pPr algn="ctr"/>
            <a:t>$1,240,869 </a:t>
          </a:fld>
          <a:endParaRPr lang="en-IN" sz="1800"/>
        </a:p>
      </xdr:txBody>
    </xdr:sp>
    <xdr:clientData/>
  </xdr:twoCellAnchor>
  <xdr:twoCellAnchor>
    <xdr:from>
      <xdr:col>6</xdr:col>
      <xdr:colOff>586740</xdr:colOff>
      <xdr:row>16</xdr:row>
      <xdr:rowOff>99060</xdr:rowOff>
    </xdr:from>
    <xdr:to>
      <xdr:col>13</xdr:col>
      <xdr:colOff>426720</xdr:colOff>
      <xdr:row>27</xdr:row>
      <xdr:rowOff>68580</xdr:rowOff>
    </xdr:to>
    <xdr:graphicFrame macro="">
      <xdr:nvGraphicFramePr>
        <xdr:cNvPr id="25" name="Chart 24">
          <a:extLst>
            <a:ext uri="{FF2B5EF4-FFF2-40B4-BE49-F238E27FC236}">
              <a16:creationId xmlns:a16="http://schemas.microsoft.com/office/drawing/2014/main" id="{22E3C875-1A43-4AF7-A644-C45EAA316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30481</xdr:colOff>
      <xdr:row>0</xdr:row>
      <xdr:rowOff>22861</xdr:rowOff>
    </xdr:from>
    <xdr:to>
      <xdr:col>2</xdr:col>
      <xdr:colOff>601980</xdr:colOff>
      <xdr:row>4</xdr:row>
      <xdr:rowOff>144781</xdr:rowOff>
    </xdr:to>
    <xdr:pic>
      <xdr:nvPicPr>
        <xdr:cNvPr id="26" name="Picture 25">
          <a:extLst>
            <a:ext uri="{FF2B5EF4-FFF2-40B4-BE49-F238E27FC236}">
              <a16:creationId xmlns:a16="http://schemas.microsoft.com/office/drawing/2014/main" id="{8EF41BF5-F71D-2D26-BCCC-CED0B8064AE9}"/>
            </a:ext>
          </a:extLst>
        </xdr:cNvPr>
        <xdr:cNvPicPr>
          <a:picLocks noChangeAspect="1"/>
        </xdr:cNvPicPr>
      </xdr:nvPicPr>
      <xdr:blipFill>
        <a:blip xmlns:r="http://schemas.openxmlformats.org/officeDocument/2006/relationships" r:embed="rId7"/>
        <a:stretch>
          <a:fillRect/>
        </a:stretch>
      </xdr:blipFill>
      <xdr:spPr>
        <a:xfrm>
          <a:off x="30481" y="22861"/>
          <a:ext cx="1790699" cy="853440"/>
        </a:xfrm>
        <a:prstGeom prst="rect">
          <a:avLst/>
        </a:prstGeom>
      </xdr:spPr>
    </xdr:pic>
    <xdr:clientData/>
  </xdr:twoCellAnchor>
</xdr:wsDr>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494444442" backgroundQuery="1" createdVersion="8" refreshedVersion="8" minRefreshableVersion="3" recordCount="0" supportSubquery="1" supportAdvancedDrill="1" xr:uid="{B630FD4C-0E8A-47BA-895C-10BD21D77DB3}">
  <cacheSource type="external" connectionId="1"/>
  <cacheFields count="5">
    <cacheField name="[Data].[Product].[Product]" caption="Product" numFmtId="0" hierarchy="2" level="1">
      <sharedItems count="20">
        <s v="50% Dark Bites"/>
        <s v="70% Dark Bites"/>
        <s v="85% Dark Bars"/>
        <s v="99% Dark &amp; Pure"/>
        <s v="After Nines"/>
        <s v="Almond Choco"/>
        <s v="Baker's Choco Chips"/>
        <s v="Caramel Stuffed Bars"/>
        <s v="Drinking Coco"/>
        <s v="Eclairs"/>
        <s v="Fruit &amp; Nut Bars"/>
        <s v="Manuka Honey Choco"/>
        <s v="Mint Chip Choco"/>
        <s v="Orange Choco"/>
        <s v="Organic Choco Syrup"/>
        <s v="Peanut Butter Cubes"/>
        <s v="Raspberry Choco"/>
        <s v="Smooth Sliky Salty"/>
        <s v="Spicy Special Slims"/>
        <s v="White Choc"/>
      </sharedItems>
    </cacheField>
    <cacheField name="[Measures].[Profit]" caption="Profit" numFmtId="0" hierarchy="12" level="32767"/>
    <cacheField name="[Measures].[Sum of Amount]" caption="Sum of Amount" numFmtId="0" hierarchy="7" level="32767"/>
    <cacheField name="[Measures].[Sum of Units]" caption="Sum of Units" numFmtId="0" hierarchy="8"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4"/>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3"/>
      </fieldsUsage>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496527774" backgroundQuery="1" createdVersion="8" refreshedVersion="8" minRefreshableVersion="3" recordCount="0" supportSubquery="1" supportAdvancedDrill="1" xr:uid="{5CBE064E-08E1-4099-A226-87359FAE237D}">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1"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50266204" backgroundQuery="1" createdVersion="8" refreshedVersion="8" minRefreshableVersion="3" recordCount="0" supportSubquery="1" supportAdvancedDrill="1" xr:uid="{C2C6852A-9B42-4C1E-8002-9C3E780FBA9C}">
  <cacheSource type="external" connectionId="1"/>
  <cacheFields count="5">
    <cacheField name="[Measures].[Sum of Amount]" caption="Sum of Amount" numFmtId="0" hierarchy="7" level="32767"/>
    <cacheField name="[Data].[Geography].[Geography]" caption="Geography" numFmtId="0" hierarchy="1" level="1">
      <sharedItems count="6">
        <s v="Australia"/>
        <s v="Canada"/>
        <s v="India"/>
        <s v="New Zealand"/>
        <s v="UK"/>
        <s v="USA"/>
      </sharedItems>
    </cacheField>
    <cacheField name="[Measures].[Sum of Units]" caption="Sum of Units" numFmtId="0" hierarchy="8" level="32767"/>
    <cacheField name="[Data].[Sales Person].[Sales Person]" caption="Sales Person" numFmtId="0" level="1">
      <sharedItems containsSemiMixedTypes="0" containsNonDate="0" containsString="0"/>
    </cacheField>
    <cacheField name="Unsupported0" numFmtId="0" hierarchy="15" level="32767">
      <extLst>
        <ext xmlns:x14="http://schemas.microsoft.com/office/spreadsheetml/2009/9/main" uri="{63CAB8AC-B538-458d-9737-405883B0398D}">
          <x14:cacheField ignore="1"/>
        </ext>
      </extLst>
    </cacheField>
  </cacheFields>
  <cacheHierarchies count="16">
    <cacheHierarchy uniqueName="[Data].[Sales Person]" caption="Sales Person" attribute="1" defaultMemberUniqueName="[Data].[Sales Person].[All]" allUniqueName="[Data].[Sales Person].[All]" dimensionUniqueName="[Data]" displayFolder="" count="2" memberValueDatatype="130" unbalanced="0">
      <fieldsUsage count="2">
        <fieldUsage x="-1"/>
        <fieldUsage x="3"/>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0"/>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Unsupported0" caption="Sales Person" measure="1" count="0">
      <extLst>
        <ext xmlns:x14="http://schemas.microsoft.com/office/spreadsheetml/2009/9/main" uri="{8CF416AD-EC4C-4aba-99F5-12A058AE0983}">
          <x14:cacheHierarchy ignore="1"/>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505324072" backgroundQuery="1" createdVersion="8" refreshedVersion="8" minRefreshableVersion="3" recordCount="0" supportSubquery="1" supportAdvancedDrill="1" xr:uid="{4BDDDCB8-A4F4-49F4-8B2E-EB3F82E6C77B}">
  <cacheSource type="external" connectionId="1"/>
  <cacheFields count="3">
    <cacheField name="[Data].[Sales Person].[Sales Person]" caption="Sales Person" numFmtId="0" level="1">
      <sharedItems count="4">
        <s v="Gigi Bohling"/>
        <s v="Ches Bonnell"/>
        <s v="Barr Faughny"/>
        <s v="Ram Mahesh"/>
      </sharedItems>
    </cacheField>
    <cacheField name="[Measures].[Sum of Amount]" caption="Sum of Amount" numFmtId="0" hierarchy="7" level="32767"/>
    <cacheField name="[Data].[Geography].[Geography]" caption="Geography" numFmtId="0" hierarchy="1" level="1">
      <sharedItems count="6">
        <s v="Australia"/>
        <s v="Canada"/>
        <s v="India"/>
        <s v="New Zealand"/>
        <s v="UK"/>
        <s v="USA"/>
      </sharedItems>
    </cacheField>
  </cacheFields>
  <cacheHierarchies count="15">
    <cacheHierarchy uniqueName="[Data].[Sales Person]" caption="Sales Person" attribute="1" defaultMemberUniqueName="[Data].[Sales Person].[All]" allUniqueName="[Data].[Sales Person].[All]" dimensionUniqueName="[Data]" displayFolder="" count="2" memberValueDatatype="130" unbalanced="0">
      <fieldsUsage count="2">
        <fieldUsage x="-1"/>
        <fieldUsage x="0"/>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507175927" backgroundQuery="1" createdVersion="8" refreshedVersion="8" minRefreshableVersion="3" recordCount="0" supportSubquery="1" supportAdvancedDrill="1" xr:uid="{066FD129-7B49-4650-8A55-C60722A84F52}">
  <cacheSource type="external" connectionId="1"/>
  <cacheFields count="3">
    <cacheField name="[Data].[Sales Person].[Sales Person]" caption="Sales Person" numFmtId="0" level="1">
      <sharedItems count="4">
        <s v="Carla Molina"/>
        <s v="Brien Boise"/>
        <s v="Oby Sorrel"/>
        <s v="Barr Faughny"/>
      </sharedItems>
    </cacheField>
    <cacheField name="[Data].[Geography].[Geography]" caption="Geography" numFmtId="0" hierarchy="1" level="1">
      <sharedItems count="6">
        <s v="Australia"/>
        <s v="Canada"/>
        <s v="India"/>
        <s v="New Zealand"/>
        <s v="UK"/>
        <s v="USA"/>
      </sharedItems>
    </cacheField>
    <cacheField name="[Measures].[Sum of Amount]" caption="Sum of Amount" numFmtId="0" hierarchy="7" level="32767"/>
  </cacheFields>
  <cacheHierarchies count="15">
    <cacheHierarchy uniqueName="[Data].[Sales Person]" caption="Sales Person" attribute="1" defaultMemberUniqueName="[Data].[Sales Person].[All]" allUniqueName="[Data].[Sales Person].[All]" dimensionUniqueName="[Data]" displayFolder="" count="2" memberValueDatatype="130" unbalanced="0">
      <fieldsUsage count="2">
        <fieldUsage x="-1"/>
        <fieldUsage x="0"/>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508564813" backgroundQuery="1" createdVersion="8" refreshedVersion="8" minRefreshableVersion="3" recordCount="0" supportSubquery="1" supportAdvancedDrill="1" xr:uid="{428D0DE5-AB97-4D93-B581-D7DC04916A6B}">
  <cacheSource type="external" connectionId="1"/>
  <cacheFields count="2">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Profit]" caption="Profit" numFmtId="0" hierarchy="12"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IKA DESHMUKH" refreshedDate="46112.471508680559" createdVersion="8" refreshedVersion="8" minRefreshableVersion="3" recordCount="300" xr:uid="{7E26D3A9-F807-4213-92AD-BADFD8A30566}">
  <cacheSource type="worksheet">
    <worksheetSource name="Data"/>
  </cacheSource>
  <cacheFields count="7">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Cost Per Unit" numFmtId="164">
      <sharedItems containsSemiMixedTypes="0" containsString="0" containsNumber="1" minValue="3.11" maxValue="16.73"/>
    </cacheField>
    <cacheField name="Cost" numFmtId="166">
      <sharedItems containsSemiMixedTypes="0" containsString="0" containsNumber="1" minValue="0" maxValue="8682.8700000000008"/>
    </cacheField>
  </cacheFields>
  <extLst>
    <ext xmlns:x14="http://schemas.microsoft.com/office/spreadsheetml/2009/9/main" uri="{725AE2AE-9491-48be-B2B4-4EB974FC3084}">
      <x14:pivotCacheDefinition pivotCacheId="415073263"/>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3085185185" backgroundQuery="1" createdVersion="8" refreshedVersion="8" minRefreshableVersion="3" recordCount="0" supportSubquery="1" supportAdvancedDrill="1" xr:uid="{05F11E39-A530-4F0E-8A9C-0166268E3AD8}">
  <cacheSource type="external" connectionId="1"/>
  <cacheFields count="2">
    <cacheField name="[Data].[Geography].[Geography]" caption="Geography" numFmtId="0" hierarchy="1" level="1">
      <sharedItems count="6">
        <s v="Australia"/>
        <s v="Canada"/>
        <s v="India"/>
        <s v="New Zealand"/>
        <s v="UK"/>
        <s v="USA"/>
      </sharedItems>
    </cacheField>
    <cacheField name="[Measures].[Profit]" caption="Profit" numFmtId="0" hierarchy="12"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491666663" backgroundQuery="1" createdVersion="3" refreshedVersion="8" minRefreshableVersion="3" recordCount="0" supportSubquery="1" supportAdvancedDrill="1" xr:uid="{FFAF0B3C-6AD4-4CBA-B75C-73D9D1162464}">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78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IKA DESHMUKH" refreshedDate="46112.471497453706" backgroundQuery="1" createdVersion="3" refreshedVersion="8" minRefreshableVersion="3" recordCount="0" supportSubquery="1" supportAdvancedDrill="1" xr:uid="{DFF0E20B-C3AC-46C0-A64D-2455254BD3EC}">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2"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828880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1624"/>
    <n v="114"/>
    <n v="14.49"/>
    <n v="1651.8600000000001"/>
  </r>
  <r>
    <x v="1"/>
    <x v="1"/>
    <x v="1"/>
    <n v="6706"/>
    <n v="459"/>
    <n v="8.65"/>
    <n v="3970.3500000000004"/>
  </r>
  <r>
    <x v="2"/>
    <x v="1"/>
    <x v="2"/>
    <n v="959"/>
    <n v="147"/>
    <n v="11.88"/>
    <n v="1746.3600000000001"/>
  </r>
  <r>
    <x v="3"/>
    <x v="2"/>
    <x v="3"/>
    <n v="9632"/>
    <n v="288"/>
    <n v="6.47"/>
    <n v="1863.36"/>
  </r>
  <r>
    <x v="4"/>
    <x v="3"/>
    <x v="4"/>
    <n v="2100"/>
    <n v="414"/>
    <n v="13.15"/>
    <n v="5444.1"/>
  </r>
  <r>
    <x v="0"/>
    <x v="1"/>
    <x v="5"/>
    <n v="8869"/>
    <n v="432"/>
    <n v="12.37"/>
    <n v="5343.8399999999992"/>
  </r>
  <r>
    <x v="4"/>
    <x v="4"/>
    <x v="6"/>
    <n v="2681"/>
    <n v="54"/>
    <n v="5.79"/>
    <n v="312.66000000000003"/>
  </r>
  <r>
    <x v="1"/>
    <x v="1"/>
    <x v="7"/>
    <n v="5012"/>
    <n v="210"/>
    <n v="9.77"/>
    <n v="2051.6999999999998"/>
  </r>
  <r>
    <x v="5"/>
    <x v="4"/>
    <x v="8"/>
    <n v="1281"/>
    <n v="75"/>
    <n v="11.7"/>
    <n v="877.5"/>
  </r>
  <r>
    <x v="6"/>
    <x v="0"/>
    <x v="8"/>
    <n v="4991"/>
    <n v="12"/>
    <n v="11.7"/>
    <n v="140.39999999999998"/>
  </r>
  <r>
    <x v="7"/>
    <x v="3"/>
    <x v="4"/>
    <n v="1785"/>
    <n v="462"/>
    <n v="13.15"/>
    <n v="6075.3"/>
  </r>
  <r>
    <x v="8"/>
    <x v="0"/>
    <x v="9"/>
    <n v="3983"/>
    <n v="144"/>
    <n v="3.11"/>
    <n v="447.84"/>
  </r>
  <r>
    <x v="2"/>
    <x v="4"/>
    <x v="10"/>
    <n v="2646"/>
    <n v="120"/>
    <n v="8.7899999999999991"/>
    <n v="1054.8"/>
  </r>
  <r>
    <x v="7"/>
    <x v="5"/>
    <x v="11"/>
    <n v="252"/>
    <n v="54"/>
    <n v="9.33"/>
    <n v="503.82"/>
  </r>
  <r>
    <x v="8"/>
    <x v="1"/>
    <x v="4"/>
    <n v="2464"/>
    <n v="234"/>
    <n v="13.15"/>
    <n v="3077.1"/>
  </r>
  <r>
    <x v="8"/>
    <x v="1"/>
    <x v="12"/>
    <n v="2114"/>
    <n v="66"/>
    <n v="7.16"/>
    <n v="472.56"/>
  </r>
  <r>
    <x v="4"/>
    <x v="0"/>
    <x v="6"/>
    <n v="7693"/>
    <n v="87"/>
    <n v="5.79"/>
    <n v="503.73"/>
  </r>
  <r>
    <x v="6"/>
    <x v="5"/>
    <x v="13"/>
    <n v="15610"/>
    <n v="339"/>
    <n v="10.62"/>
    <n v="3600.18"/>
  </r>
  <r>
    <x v="3"/>
    <x v="5"/>
    <x v="7"/>
    <n v="336"/>
    <n v="144"/>
    <n v="9.77"/>
    <n v="1406.8799999999999"/>
  </r>
  <r>
    <x v="7"/>
    <x v="3"/>
    <x v="13"/>
    <n v="9443"/>
    <n v="162"/>
    <n v="10.62"/>
    <n v="1720.4399999999998"/>
  </r>
  <r>
    <x v="2"/>
    <x v="5"/>
    <x v="14"/>
    <n v="8155"/>
    <n v="90"/>
    <n v="6.49"/>
    <n v="584.1"/>
  </r>
  <r>
    <x v="1"/>
    <x v="4"/>
    <x v="14"/>
    <n v="1701"/>
    <n v="234"/>
    <n v="6.49"/>
    <n v="1518.66"/>
  </r>
  <r>
    <x v="9"/>
    <x v="4"/>
    <x v="7"/>
    <n v="2205"/>
    <n v="141"/>
    <n v="9.77"/>
    <n v="1377.57"/>
  </r>
  <r>
    <x v="1"/>
    <x v="0"/>
    <x v="15"/>
    <n v="1771"/>
    <n v="204"/>
    <n v="7.64"/>
    <n v="1558.56"/>
  </r>
  <r>
    <x v="3"/>
    <x v="1"/>
    <x v="16"/>
    <n v="2114"/>
    <n v="186"/>
    <n v="11.73"/>
    <n v="2181.7800000000002"/>
  </r>
  <r>
    <x v="3"/>
    <x v="2"/>
    <x v="11"/>
    <n v="10311"/>
    <n v="231"/>
    <n v="9.33"/>
    <n v="2155.23"/>
  </r>
  <r>
    <x v="8"/>
    <x v="3"/>
    <x v="10"/>
    <n v="21"/>
    <n v="168"/>
    <n v="8.7899999999999991"/>
    <n v="1476.7199999999998"/>
  </r>
  <r>
    <x v="9"/>
    <x v="1"/>
    <x v="13"/>
    <n v="1974"/>
    <n v="195"/>
    <n v="10.62"/>
    <n v="2070.8999999999996"/>
  </r>
  <r>
    <x v="6"/>
    <x v="2"/>
    <x v="14"/>
    <n v="6314"/>
    <n v="15"/>
    <n v="6.49"/>
    <n v="97.350000000000009"/>
  </r>
  <r>
    <x v="9"/>
    <x v="0"/>
    <x v="14"/>
    <n v="4683"/>
    <n v="30"/>
    <n v="6.49"/>
    <n v="194.70000000000002"/>
  </r>
  <r>
    <x v="3"/>
    <x v="0"/>
    <x v="17"/>
    <n v="6398"/>
    <n v="102"/>
    <n v="4.97"/>
    <n v="506.94"/>
  </r>
  <r>
    <x v="7"/>
    <x v="1"/>
    <x v="15"/>
    <n v="553"/>
    <n v="15"/>
    <n v="7.64"/>
    <n v="114.6"/>
  </r>
  <r>
    <x v="1"/>
    <x v="3"/>
    <x v="0"/>
    <n v="7021"/>
    <n v="183"/>
    <n v="14.49"/>
    <n v="2651.67"/>
  </r>
  <r>
    <x v="0"/>
    <x v="3"/>
    <x v="7"/>
    <n v="5817"/>
    <n v="12"/>
    <n v="9.77"/>
    <n v="117.24"/>
  </r>
  <r>
    <x v="3"/>
    <x v="3"/>
    <x v="8"/>
    <n v="3976"/>
    <n v="72"/>
    <n v="11.7"/>
    <n v="842.4"/>
  </r>
  <r>
    <x v="4"/>
    <x v="4"/>
    <x v="18"/>
    <n v="1134"/>
    <n v="282"/>
    <n v="16.73"/>
    <n v="4717.8599999999997"/>
  </r>
  <r>
    <x v="7"/>
    <x v="3"/>
    <x v="19"/>
    <n v="6027"/>
    <n v="144"/>
    <n v="10.38"/>
    <n v="1494.72"/>
  </r>
  <r>
    <x v="4"/>
    <x v="0"/>
    <x v="10"/>
    <n v="1904"/>
    <n v="405"/>
    <n v="8.7899999999999991"/>
    <n v="3559.95"/>
  </r>
  <r>
    <x v="5"/>
    <x v="5"/>
    <x v="1"/>
    <n v="3262"/>
    <n v="75"/>
    <n v="8.65"/>
    <n v="648.75"/>
  </r>
  <r>
    <x v="0"/>
    <x v="5"/>
    <x v="18"/>
    <n v="2289"/>
    <n v="135"/>
    <n v="16.73"/>
    <n v="2258.5500000000002"/>
  </r>
  <r>
    <x v="6"/>
    <x v="5"/>
    <x v="18"/>
    <n v="6986"/>
    <n v="21"/>
    <n v="16.73"/>
    <n v="351.33"/>
  </r>
  <r>
    <x v="7"/>
    <x v="4"/>
    <x v="14"/>
    <n v="4417"/>
    <n v="153"/>
    <n v="6.49"/>
    <n v="992.97"/>
  </r>
  <r>
    <x v="4"/>
    <x v="5"/>
    <x v="16"/>
    <n v="1442"/>
    <n v="15"/>
    <n v="11.73"/>
    <n v="175.95000000000002"/>
  </r>
  <r>
    <x v="8"/>
    <x v="1"/>
    <x v="8"/>
    <n v="2415"/>
    <n v="255"/>
    <n v="11.7"/>
    <n v="2983.5"/>
  </r>
  <r>
    <x v="7"/>
    <x v="0"/>
    <x v="15"/>
    <n v="238"/>
    <n v="18"/>
    <n v="7.64"/>
    <n v="137.51999999999998"/>
  </r>
  <r>
    <x v="4"/>
    <x v="0"/>
    <x v="14"/>
    <n v="4949"/>
    <n v="189"/>
    <n v="6.49"/>
    <n v="1226.6100000000001"/>
  </r>
  <r>
    <x v="6"/>
    <x v="4"/>
    <x v="1"/>
    <n v="5075"/>
    <n v="21"/>
    <n v="8.65"/>
    <n v="181.65"/>
  </r>
  <r>
    <x v="8"/>
    <x v="2"/>
    <x v="10"/>
    <n v="9198"/>
    <n v="36"/>
    <n v="8.7899999999999991"/>
    <n v="316.43999999999994"/>
  </r>
  <r>
    <x v="4"/>
    <x v="5"/>
    <x v="12"/>
    <n v="3339"/>
    <n v="75"/>
    <n v="7.16"/>
    <n v="537"/>
  </r>
  <r>
    <x v="0"/>
    <x v="5"/>
    <x v="9"/>
    <n v="5019"/>
    <n v="156"/>
    <n v="3.11"/>
    <n v="485.15999999999997"/>
  </r>
  <r>
    <x v="6"/>
    <x v="2"/>
    <x v="10"/>
    <n v="16184"/>
    <n v="39"/>
    <n v="8.7899999999999991"/>
    <n v="342.80999999999995"/>
  </r>
  <r>
    <x v="4"/>
    <x v="2"/>
    <x v="20"/>
    <n v="497"/>
    <n v="63"/>
    <n v="9"/>
    <n v="567"/>
  </r>
  <r>
    <x v="7"/>
    <x v="2"/>
    <x v="12"/>
    <n v="8211"/>
    <n v="75"/>
    <n v="7.16"/>
    <n v="537"/>
  </r>
  <r>
    <x v="7"/>
    <x v="4"/>
    <x v="19"/>
    <n v="6580"/>
    <n v="183"/>
    <n v="10.38"/>
    <n v="1899.5400000000002"/>
  </r>
  <r>
    <x v="3"/>
    <x v="1"/>
    <x v="11"/>
    <n v="4760"/>
    <n v="69"/>
    <n v="9.33"/>
    <n v="643.77"/>
  </r>
  <r>
    <x v="0"/>
    <x v="2"/>
    <x v="4"/>
    <n v="5439"/>
    <n v="30"/>
    <n v="13.15"/>
    <n v="394.5"/>
  </r>
  <r>
    <x v="3"/>
    <x v="5"/>
    <x v="9"/>
    <n v="1463"/>
    <n v="39"/>
    <n v="3.11"/>
    <n v="121.28999999999999"/>
  </r>
  <r>
    <x v="8"/>
    <x v="5"/>
    <x v="1"/>
    <n v="7777"/>
    <n v="504"/>
    <n v="8.65"/>
    <n v="4359.6000000000004"/>
  </r>
  <r>
    <x v="2"/>
    <x v="0"/>
    <x v="12"/>
    <n v="1085"/>
    <n v="273"/>
    <n v="7.16"/>
    <n v="1954.68"/>
  </r>
  <r>
    <x v="6"/>
    <x v="0"/>
    <x v="6"/>
    <n v="182"/>
    <n v="48"/>
    <n v="5.79"/>
    <n v="277.92"/>
  </r>
  <r>
    <x v="4"/>
    <x v="5"/>
    <x v="18"/>
    <n v="4242"/>
    <n v="207"/>
    <n v="16.73"/>
    <n v="3463.11"/>
  </r>
  <r>
    <x v="4"/>
    <x v="2"/>
    <x v="1"/>
    <n v="6118"/>
    <n v="9"/>
    <n v="8.65"/>
    <n v="77.850000000000009"/>
  </r>
  <r>
    <x v="9"/>
    <x v="2"/>
    <x v="14"/>
    <n v="2317"/>
    <n v="261"/>
    <n v="6.49"/>
    <n v="1693.89"/>
  </r>
  <r>
    <x v="4"/>
    <x v="4"/>
    <x v="10"/>
    <n v="938"/>
    <n v="6"/>
    <n v="8.7899999999999991"/>
    <n v="52.739999999999995"/>
  </r>
  <r>
    <x v="1"/>
    <x v="0"/>
    <x v="16"/>
    <n v="9709"/>
    <n v="30"/>
    <n v="11.73"/>
    <n v="351.90000000000003"/>
  </r>
  <r>
    <x v="5"/>
    <x v="5"/>
    <x v="13"/>
    <n v="2205"/>
    <n v="138"/>
    <n v="10.62"/>
    <n v="1465.56"/>
  </r>
  <r>
    <x v="5"/>
    <x v="0"/>
    <x v="9"/>
    <n v="4487"/>
    <n v="111"/>
    <n v="3.11"/>
    <n v="345.21"/>
  </r>
  <r>
    <x v="6"/>
    <x v="1"/>
    <x v="3"/>
    <n v="2415"/>
    <n v="15"/>
    <n v="6.47"/>
    <n v="97.05"/>
  </r>
  <r>
    <x v="0"/>
    <x v="5"/>
    <x v="15"/>
    <n v="4018"/>
    <n v="162"/>
    <n v="7.64"/>
    <n v="1237.6799999999998"/>
  </r>
  <r>
    <x v="6"/>
    <x v="5"/>
    <x v="15"/>
    <n v="861"/>
    <n v="195"/>
    <n v="7.64"/>
    <n v="1489.8"/>
  </r>
  <r>
    <x v="9"/>
    <x v="4"/>
    <x v="8"/>
    <n v="5586"/>
    <n v="525"/>
    <n v="11.7"/>
    <n v="6142.5"/>
  </r>
  <r>
    <x v="5"/>
    <x v="5"/>
    <x v="5"/>
    <n v="2226"/>
    <n v="48"/>
    <n v="12.37"/>
    <n v="593.76"/>
  </r>
  <r>
    <x v="2"/>
    <x v="5"/>
    <x v="19"/>
    <n v="14329"/>
    <n v="150"/>
    <n v="10.38"/>
    <n v="1557.0000000000002"/>
  </r>
  <r>
    <x v="2"/>
    <x v="5"/>
    <x v="13"/>
    <n v="8463"/>
    <n v="492"/>
    <n v="10.62"/>
    <n v="5225.04"/>
  </r>
  <r>
    <x v="6"/>
    <x v="5"/>
    <x v="12"/>
    <n v="2891"/>
    <n v="102"/>
    <n v="7.16"/>
    <n v="730.32"/>
  </r>
  <r>
    <x v="8"/>
    <x v="2"/>
    <x v="14"/>
    <n v="3773"/>
    <n v="165"/>
    <n v="6.49"/>
    <n v="1070.8500000000001"/>
  </r>
  <r>
    <x v="3"/>
    <x v="2"/>
    <x v="19"/>
    <n v="854"/>
    <n v="309"/>
    <n v="10.38"/>
    <n v="3207.42"/>
  </r>
  <r>
    <x v="4"/>
    <x v="2"/>
    <x v="9"/>
    <n v="4970"/>
    <n v="156"/>
    <n v="3.11"/>
    <n v="485.15999999999997"/>
  </r>
  <r>
    <x v="2"/>
    <x v="1"/>
    <x v="21"/>
    <n v="98"/>
    <n v="159"/>
    <n v="5.6"/>
    <n v="890.4"/>
  </r>
  <r>
    <x v="6"/>
    <x v="1"/>
    <x v="16"/>
    <n v="13391"/>
    <n v="201"/>
    <n v="11.73"/>
    <n v="2357.73"/>
  </r>
  <r>
    <x v="1"/>
    <x v="3"/>
    <x v="6"/>
    <n v="8890"/>
    <n v="210"/>
    <n v="5.79"/>
    <n v="1215.9000000000001"/>
  </r>
  <r>
    <x v="7"/>
    <x v="4"/>
    <x v="11"/>
    <n v="56"/>
    <n v="51"/>
    <n v="9.33"/>
    <n v="475.83"/>
  </r>
  <r>
    <x v="8"/>
    <x v="2"/>
    <x v="4"/>
    <n v="3339"/>
    <n v="39"/>
    <n v="13.15"/>
    <n v="512.85"/>
  </r>
  <r>
    <x v="9"/>
    <x v="1"/>
    <x v="3"/>
    <n v="3808"/>
    <n v="279"/>
    <n v="6.47"/>
    <n v="1805.1299999999999"/>
  </r>
  <r>
    <x v="9"/>
    <x v="4"/>
    <x v="11"/>
    <n v="63"/>
    <n v="123"/>
    <n v="9.33"/>
    <n v="1147.5899999999999"/>
  </r>
  <r>
    <x v="7"/>
    <x v="3"/>
    <x v="18"/>
    <n v="7812"/>
    <n v="81"/>
    <n v="16.73"/>
    <n v="1355.13"/>
  </r>
  <r>
    <x v="0"/>
    <x v="0"/>
    <x v="15"/>
    <n v="7693"/>
    <n v="21"/>
    <n v="7.64"/>
    <n v="160.44"/>
  </r>
  <r>
    <x v="8"/>
    <x v="2"/>
    <x v="19"/>
    <n v="973"/>
    <n v="162"/>
    <n v="10.38"/>
    <n v="1681.5600000000002"/>
  </r>
  <r>
    <x v="9"/>
    <x v="1"/>
    <x v="20"/>
    <n v="567"/>
    <n v="228"/>
    <n v="9"/>
    <n v="2052"/>
  </r>
  <r>
    <x v="9"/>
    <x v="2"/>
    <x v="12"/>
    <n v="2471"/>
    <n v="342"/>
    <n v="7.16"/>
    <n v="2448.7200000000003"/>
  </r>
  <r>
    <x v="6"/>
    <x v="4"/>
    <x v="11"/>
    <n v="7189"/>
    <n v="54"/>
    <n v="9.33"/>
    <n v="503.82"/>
  </r>
  <r>
    <x v="3"/>
    <x v="1"/>
    <x v="19"/>
    <n v="7455"/>
    <n v="216"/>
    <n v="10.38"/>
    <n v="2242.0800000000004"/>
  </r>
  <r>
    <x v="8"/>
    <x v="5"/>
    <x v="21"/>
    <n v="3108"/>
    <n v="54"/>
    <n v="5.6"/>
    <n v="302.39999999999998"/>
  </r>
  <r>
    <x v="4"/>
    <x v="4"/>
    <x v="4"/>
    <n v="469"/>
    <n v="75"/>
    <n v="13.15"/>
    <n v="986.25"/>
  </r>
  <r>
    <x v="2"/>
    <x v="0"/>
    <x v="14"/>
    <n v="2737"/>
    <n v="93"/>
    <n v="6.49"/>
    <n v="603.57000000000005"/>
  </r>
  <r>
    <x v="2"/>
    <x v="0"/>
    <x v="4"/>
    <n v="4305"/>
    <n v="156"/>
    <n v="13.15"/>
    <n v="2051.4"/>
  </r>
  <r>
    <x v="2"/>
    <x v="4"/>
    <x v="9"/>
    <n v="2408"/>
    <n v="9"/>
    <n v="3.11"/>
    <n v="27.99"/>
  </r>
  <r>
    <x v="8"/>
    <x v="2"/>
    <x v="15"/>
    <n v="1281"/>
    <n v="18"/>
    <n v="7.64"/>
    <n v="137.51999999999998"/>
  </r>
  <r>
    <x v="0"/>
    <x v="1"/>
    <x v="1"/>
    <n v="12348"/>
    <n v="234"/>
    <n v="8.65"/>
    <n v="2024.1000000000001"/>
  </r>
  <r>
    <x v="8"/>
    <x v="5"/>
    <x v="19"/>
    <n v="3689"/>
    <n v="312"/>
    <n v="10.38"/>
    <n v="3238.5600000000004"/>
  </r>
  <r>
    <x v="5"/>
    <x v="2"/>
    <x v="15"/>
    <n v="2870"/>
    <n v="300"/>
    <n v="7.64"/>
    <n v="2292"/>
  </r>
  <r>
    <x v="7"/>
    <x v="2"/>
    <x v="18"/>
    <n v="798"/>
    <n v="519"/>
    <n v="16.73"/>
    <n v="8682.8700000000008"/>
  </r>
  <r>
    <x v="3"/>
    <x v="0"/>
    <x v="20"/>
    <n v="2933"/>
    <n v="9"/>
    <n v="9"/>
    <n v="81"/>
  </r>
  <r>
    <x v="6"/>
    <x v="1"/>
    <x v="2"/>
    <n v="2744"/>
    <n v="9"/>
    <n v="11.88"/>
    <n v="106.92"/>
  </r>
  <r>
    <x v="0"/>
    <x v="2"/>
    <x v="5"/>
    <n v="9772"/>
    <n v="90"/>
    <n v="12.37"/>
    <n v="1113.3"/>
  </r>
  <r>
    <x v="5"/>
    <x v="5"/>
    <x v="4"/>
    <n v="1568"/>
    <n v="96"/>
    <n v="13.15"/>
    <n v="1262.4000000000001"/>
  </r>
  <r>
    <x v="7"/>
    <x v="2"/>
    <x v="10"/>
    <n v="11417"/>
    <n v="21"/>
    <n v="8.7899999999999991"/>
    <n v="184.58999999999997"/>
  </r>
  <r>
    <x v="0"/>
    <x v="5"/>
    <x v="21"/>
    <n v="6748"/>
    <n v="48"/>
    <n v="5.6"/>
    <n v="268.79999999999995"/>
  </r>
  <r>
    <x v="9"/>
    <x v="2"/>
    <x v="18"/>
    <n v="1407"/>
    <n v="72"/>
    <n v="16.73"/>
    <n v="1204.56"/>
  </r>
  <r>
    <x v="1"/>
    <x v="1"/>
    <x v="12"/>
    <n v="2023"/>
    <n v="168"/>
    <n v="7.16"/>
    <n v="1202.8800000000001"/>
  </r>
  <r>
    <x v="6"/>
    <x v="3"/>
    <x v="21"/>
    <n v="5236"/>
    <n v="51"/>
    <n v="5.6"/>
    <n v="285.59999999999997"/>
  </r>
  <r>
    <x v="3"/>
    <x v="2"/>
    <x v="15"/>
    <n v="1925"/>
    <n v="192"/>
    <n v="7.64"/>
    <n v="1466.8799999999999"/>
  </r>
  <r>
    <x v="5"/>
    <x v="0"/>
    <x v="8"/>
    <n v="6608"/>
    <n v="225"/>
    <n v="11.7"/>
    <n v="2632.5"/>
  </r>
  <r>
    <x v="4"/>
    <x v="5"/>
    <x v="21"/>
    <n v="8008"/>
    <n v="456"/>
    <n v="5.6"/>
    <n v="2553.6"/>
  </r>
  <r>
    <x v="9"/>
    <x v="5"/>
    <x v="4"/>
    <n v="1428"/>
    <n v="93"/>
    <n v="13.15"/>
    <n v="1222.95"/>
  </r>
  <r>
    <x v="4"/>
    <x v="5"/>
    <x v="2"/>
    <n v="525"/>
    <n v="48"/>
    <n v="11.88"/>
    <n v="570.24"/>
  </r>
  <r>
    <x v="4"/>
    <x v="0"/>
    <x v="3"/>
    <n v="1505"/>
    <n v="102"/>
    <n v="6.47"/>
    <n v="659.93999999999994"/>
  </r>
  <r>
    <x v="5"/>
    <x v="1"/>
    <x v="0"/>
    <n v="6755"/>
    <n v="252"/>
    <n v="14.49"/>
    <n v="3651.48"/>
  </r>
  <r>
    <x v="7"/>
    <x v="0"/>
    <x v="3"/>
    <n v="11571"/>
    <n v="138"/>
    <n v="6.47"/>
    <n v="892.86"/>
  </r>
  <r>
    <x v="0"/>
    <x v="4"/>
    <x v="4"/>
    <n v="2541"/>
    <n v="90"/>
    <n v="13.15"/>
    <n v="1183.5"/>
  </r>
  <r>
    <x v="3"/>
    <x v="0"/>
    <x v="0"/>
    <n v="1526"/>
    <n v="240"/>
    <n v="14.49"/>
    <n v="3477.6"/>
  </r>
  <r>
    <x v="0"/>
    <x v="4"/>
    <x v="2"/>
    <n v="6125"/>
    <n v="102"/>
    <n v="11.88"/>
    <n v="1211.76"/>
  </r>
  <r>
    <x v="3"/>
    <x v="1"/>
    <x v="18"/>
    <n v="847"/>
    <n v="129"/>
    <n v="16.73"/>
    <n v="2158.17"/>
  </r>
  <r>
    <x v="1"/>
    <x v="1"/>
    <x v="18"/>
    <n v="4753"/>
    <n v="300"/>
    <n v="16.73"/>
    <n v="5019"/>
  </r>
  <r>
    <x v="4"/>
    <x v="4"/>
    <x v="5"/>
    <n v="959"/>
    <n v="135"/>
    <n v="12.37"/>
    <n v="1669.9499999999998"/>
  </r>
  <r>
    <x v="5"/>
    <x v="1"/>
    <x v="17"/>
    <n v="2793"/>
    <n v="114"/>
    <n v="4.97"/>
    <n v="566.57999999999993"/>
  </r>
  <r>
    <x v="5"/>
    <x v="1"/>
    <x v="8"/>
    <n v="4606"/>
    <n v="63"/>
    <n v="11.7"/>
    <n v="737.09999999999991"/>
  </r>
  <r>
    <x v="5"/>
    <x v="2"/>
    <x v="12"/>
    <n v="5551"/>
    <n v="252"/>
    <n v="7.16"/>
    <n v="1804.32"/>
  </r>
  <r>
    <x v="9"/>
    <x v="2"/>
    <x v="1"/>
    <n v="6657"/>
    <n v="303"/>
    <n v="8.65"/>
    <n v="2620.9500000000003"/>
  </r>
  <r>
    <x v="5"/>
    <x v="3"/>
    <x v="9"/>
    <n v="4438"/>
    <n v="246"/>
    <n v="3.11"/>
    <n v="765.06"/>
  </r>
  <r>
    <x v="1"/>
    <x v="4"/>
    <x v="7"/>
    <n v="168"/>
    <n v="84"/>
    <n v="9.77"/>
    <n v="820.68"/>
  </r>
  <r>
    <x v="5"/>
    <x v="5"/>
    <x v="9"/>
    <n v="7777"/>
    <n v="39"/>
    <n v="3.11"/>
    <n v="121.28999999999999"/>
  </r>
  <r>
    <x v="6"/>
    <x v="2"/>
    <x v="9"/>
    <n v="3339"/>
    <n v="348"/>
    <n v="3.11"/>
    <n v="1082.28"/>
  </r>
  <r>
    <x v="5"/>
    <x v="0"/>
    <x v="5"/>
    <n v="6391"/>
    <n v="48"/>
    <n v="12.37"/>
    <n v="593.76"/>
  </r>
  <r>
    <x v="6"/>
    <x v="0"/>
    <x v="7"/>
    <n v="518"/>
    <n v="75"/>
    <n v="9.77"/>
    <n v="732.75"/>
  </r>
  <r>
    <x v="5"/>
    <x v="4"/>
    <x v="19"/>
    <n v="5677"/>
    <n v="258"/>
    <n v="10.38"/>
    <n v="2678.0400000000004"/>
  </r>
  <r>
    <x v="4"/>
    <x v="3"/>
    <x v="9"/>
    <n v="6048"/>
    <n v="27"/>
    <n v="3.11"/>
    <n v="83.97"/>
  </r>
  <r>
    <x v="1"/>
    <x v="4"/>
    <x v="1"/>
    <n v="3752"/>
    <n v="213"/>
    <n v="8.65"/>
    <n v="1842.45"/>
  </r>
  <r>
    <x v="6"/>
    <x v="1"/>
    <x v="12"/>
    <n v="4480"/>
    <n v="357"/>
    <n v="7.16"/>
    <n v="2556.12"/>
  </r>
  <r>
    <x v="2"/>
    <x v="0"/>
    <x v="2"/>
    <n v="259"/>
    <n v="207"/>
    <n v="11.88"/>
    <n v="2459.1600000000003"/>
  </r>
  <r>
    <x v="1"/>
    <x v="0"/>
    <x v="0"/>
    <n v="42"/>
    <n v="150"/>
    <n v="14.49"/>
    <n v="2173.5"/>
  </r>
  <r>
    <x v="3"/>
    <x v="2"/>
    <x v="21"/>
    <n v="98"/>
    <n v="204"/>
    <n v="5.6"/>
    <n v="1142.3999999999999"/>
  </r>
  <r>
    <x v="5"/>
    <x v="1"/>
    <x v="18"/>
    <n v="2478"/>
    <n v="21"/>
    <n v="16.73"/>
    <n v="351.33"/>
  </r>
  <r>
    <x v="3"/>
    <x v="5"/>
    <x v="5"/>
    <n v="7847"/>
    <n v="174"/>
    <n v="12.37"/>
    <n v="2152.3799999999997"/>
  </r>
  <r>
    <x v="7"/>
    <x v="0"/>
    <x v="9"/>
    <n v="9926"/>
    <n v="201"/>
    <n v="3.11"/>
    <n v="625.11"/>
  </r>
  <r>
    <x v="1"/>
    <x v="4"/>
    <x v="11"/>
    <n v="819"/>
    <n v="510"/>
    <n v="9.33"/>
    <n v="4758.3"/>
  </r>
  <r>
    <x v="4"/>
    <x v="3"/>
    <x v="12"/>
    <n v="3052"/>
    <n v="378"/>
    <n v="7.16"/>
    <n v="2706.48"/>
  </r>
  <r>
    <x v="2"/>
    <x v="5"/>
    <x v="20"/>
    <n v="6832"/>
    <n v="27"/>
    <n v="9"/>
    <n v="243"/>
  </r>
  <r>
    <x v="7"/>
    <x v="3"/>
    <x v="10"/>
    <n v="2016"/>
    <n v="117"/>
    <n v="8.7899999999999991"/>
    <n v="1028.4299999999998"/>
  </r>
  <r>
    <x v="4"/>
    <x v="4"/>
    <x v="20"/>
    <n v="7322"/>
    <n v="36"/>
    <n v="9"/>
    <n v="324"/>
  </r>
  <r>
    <x v="1"/>
    <x v="1"/>
    <x v="5"/>
    <n v="357"/>
    <n v="126"/>
    <n v="12.37"/>
    <n v="1558.62"/>
  </r>
  <r>
    <x v="2"/>
    <x v="3"/>
    <x v="4"/>
    <n v="3192"/>
    <n v="72"/>
    <n v="13.15"/>
    <n v="946.80000000000007"/>
  </r>
  <r>
    <x v="5"/>
    <x v="2"/>
    <x v="7"/>
    <n v="8435"/>
    <n v="42"/>
    <n v="9.77"/>
    <n v="410.34"/>
  </r>
  <r>
    <x v="0"/>
    <x v="3"/>
    <x v="12"/>
    <n v="0"/>
    <n v="135"/>
    <n v="7.16"/>
    <n v="966.6"/>
  </r>
  <r>
    <x v="5"/>
    <x v="5"/>
    <x v="17"/>
    <n v="8862"/>
    <n v="189"/>
    <n v="4.97"/>
    <n v="939.32999999999993"/>
  </r>
  <r>
    <x v="4"/>
    <x v="0"/>
    <x v="19"/>
    <n v="3556"/>
    <n v="459"/>
    <n v="10.38"/>
    <n v="4764.42"/>
  </r>
  <r>
    <x v="6"/>
    <x v="5"/>
    <x v="16"/>
    <n v="7280"/>
    <n v="201"/>
    <n v="11.73"/>
    <n v="2357.73"/>
  </r>
  <r>
    <x v="4"/>
    <x v="5"/>
    <x v="0"/>
    <n v="3402"/>
    <n v="366"/>
    <n v="14.49"/>
    <n v="5303.34"/>
  </r>
  <r>
    <x v="8"/>
    <x v="0"/>
    <x v="12"/>
    <n v="4592"/>
    <n v="324"/>
    <n v="7.16"/>
    <n v="2319.84"/>
  </r>
  <r>
    <x v="2"/>
    <x v="1"/>
    <x v="16"/>
    <n v="7833"/>
    <n v="243"/>
    <n v="11.73"/>
    <n v="2850.3900000000003"/>
  </r>
  <r>
    <x v="7"/>
    <x v="3"/>
    <x v="20"/>
    <n v="7651"/>
    <n v="213"/>
    <n v="9"/>
    <n v="1917"/>
  </r>
  <r>
    <x v="0"/>
    <x v="1"/>
    <x v="0"/>
    <n v="2275"/>
    <n v="447"/>
    <n v="14.49"/>
    <n v="6477.03"/>
  </r>
  <r>
    <x v="0"/>
    <x v="4"/>
    <x v="11"/>
    <n v="5670"/>
    <n v="297"/>
    <n v="9.33"/>
    <n v="2771.01"/>
  </r>
  <r>
    <x v="5"/>
    <x v="1"/>
    <x v="10"/>
    <n v="2135"/>
    <n v="27"/>
    <n v="8.7899999999999991"/>
    <n v="237.32999999999998"/>
  </r>
  <r>
    <x v="0"/>
    <x v="5"/>
    <x v="14"/>
    <n v="2779"/>
    <n v="75"/>
    <n v="6.49"/>
    <n v="486.75"/>
  </r>
  <r>
    <x v="9"/>
    <x v="3"/>
    <x v="5"/>
    <n v="12950"/>
    <n v="30"/>
    <n v="12.37"/>
    <n v="371.09999999999997"/>
  </r>
  <r>
    <x v="5"/>
    <x v="2"/>
    <x v="3"/>
    <n v="2646"/>
    <n v="177"/>
    <n v="6.47"/>
    <n v="1145.19"/>
  </r>
  <r>
    <x v="0"/>
    <x v="5"/>
    <x v="5"/>
    <n v="3794"/>
    <n v="159"/>
    <n v="12.37"/>
    <n v="1966.83"/>
  </r>
  <r>
    <x v="8"/>
    <x v="1"/>
    <x v="5"/>
    <n v="819"/>
    <n v="306"/>
    <n v="12.37"/>
    <n v="3785.22"/>
  </r>
  <r>
    <x v="8"/>
    <x v="5"/>
    <x v="13"/>
    <n v="2583"/>
    <n v="18"/>
    <n v="10.62"/>
    <n v="191.16"/>
  </r>
  <r>
    <x v="5"/>
    <x v="1"/>
    <x v="15"/>
    <n v="4585"/>
    <n v="240"/>
    <n v="7.64"/>
    <n v="1833.6"/>
  </r>
  <r>
    <x v="6"/>
    <x v="5"/>
    <x v="5"/>
    <n v="1652"/>
    <n v="93"/>
    <n v="12.37"/>
    <n v="1150.4099999999999"/>
  </r>
  <r>
    <x v="9"/>
    <x v="5"/>
    <x v="21"/>
    <n v="4991"/>
    <n v="9"/>
    <n v="5.6"/>
    <n v="50.4"/>
  </r>
  <r>
    <x v="1"/>
    <x v="5"/>
    <x v="10"/>
    <n v="2009"/>
    <n v="219"/>
    <n v="8.7899999999999991"/>
    <n v="1925.0099999999998"/>
  </r>
  <r>
    <x v="7"/>
    <x v="3"/>
    <x v="7"/>
    <n v="1568"/>
    <n v="141"/>
    <n v="9.77"/>
    <n v="1377.57"/>
  </r>
  <r>
    <x v="3"/>
    <x v="0"/>
    <x v="13"/>
    <n v="3388"/>
    <n v="123"/>
    <n v="10.62"/>
    <n v="1306.26"/>
  </r>
  <r>
    <x v="0"/>
    <x v="4"/>
    <x v="17"/>
    <n v="623"/>
    <n v="51"/>
    <n v="4.97"/>
    <n v="253.47"/>
  </r>
  <r>
    <x v="4"/>
    <x v="2"/>
    <x v="2"/>
    <n v="10073"/>
    <n v="120"/>
    <n v="11.88"/>
    <n v="1425.6000000000001"/>
  </r>
  <r>
    <x v="1"/>
    <x v="3"/>
    <x v="21"/>
    <n v="1561"/>
    <n v="27"/>
    <n v="5.6"/>
    <n v="151.19999999999999"/>
  </r>
  <r>
    <x v="2"/>
    <x v="2"/>
    <x v="18"/>
    <n v="11522"/>
    <n v="204"/>
    <n v="16.73"/>
    <n v="3412.92"/>
  </r>
  <r>
    <x v="4"/>
    <x v="4"/>
    <x v="11"/>
    <n v="2317"/>
    <n v="123"/>
    <n v="9.33"/>
    <n v="1147.5899999999999"/>
  </r>
  <r>
    <x v="9"/>
    <x v="0"/>
    <x v="19"/>
    <n v="3059"/>
    <n v="27"/>
    <n v="10.38"/>
    <n v="280.26000000000005"/>
  </r>
  <r>
    <x v="3"/>
    <x v="0"/>
    <x v="21"/>
    <n v="2324"/>
    <n v="177"/>
    <n v="5.6"/>
    <n v="991.19999999999993"/>
  </r>
  <r>
    <x v="8"/>
    <x v="3"/>
    <x v="21"/>
    <n v="4956"/>
    <n v="171"/>
    <n v="5.6"/>
    <n v="957.59999999999991"/>
  </r>
  <r>
    <x v="9"/>
    <x v="5"/>
    <x v="15"/>
    <n v="5355"/>
    <n v="204"/>
    <n v="7.64"/>
    <n v="1558.56"/>
  </r>
  <r>
    <x v="8"/>
    <x v="5"/>
    <x v="8"/>
    <n v="7259"/>
    <n v="276"/>
    <n v="11.7"/>
    <n v="3229.2"/>
  </r>
  <r>
    <x v="1"/>
    <x v="0"/>
    <x v="21"/>
    <n v="6279"/>
    <n v="45"/>
    <n v="5.6"/>
    <n v="251.99999999999997"/>
  </r>
  <r>
    <x v="0"/>
    <x v="4"/>
    <x v="12"/>
    <n v="2541"/>
    <n v="45"/>
    <n v="7.16"/>
    <n v="322.2"/>
  </r>
  <r>
    <x v="4"/>
    <x v="1"/>
    <x v="18"/>
    <n v="3864"/>
    <n v="177"/>
    <n v="16.73"/>
    <n v="2961.21"/>
  </r>
  <r>
    <x v="6"/>
    <x v="2"/>
    <x v="11"/>
    <n v="6146"/>
    <n v="63"/>
    <n v="9.33"/>
    <n v="587.79"/>
  </r>
  <r>
    <x v="2"/>
    <x v="3"/>
    <x v="3"/>
    <n v="2639"/>
    <n v="204"/>
    <n v="6.47"/>
    <n v="1319.8799999999999"/>
  </r>
  <r>
    <x v="1"/>
    <x v="0"/>
    <x v="7"/>
    <n v="1890"/>
    <n v="195"/>
    <n v="9.77"/>
    <n v="1905.1499999999999"/>
  </r>
  <r>
    <x v="5"/>
    <x v="5"/>
    <x v="8"/>
    <n v="1932"/>
    <n v="369"/>
    <n v="11.7"/>
    <n v="4317.3"/>
  </r>
  <r>
    <x v="8"/>
    <x v="5"/>
    <x v="4"/>
    <n v="6300"/>
    <n v="42"/>
    <n v="13.15"/>
    <n v="552.30000000000007"/>
  </r>
  <r>
    <x v="4"/>
    <x v="0"/>
    <x v="0"/>
    <n v="560"/>
    <n v="81"/>
    <n v="14.49"/>
    <n v="1173.69"/>
  </r>
  <r>
    <x v="2"/>
    <x v="0"/>
    <x v="21"/>
    <n v="2856"/>
    <n v="246"/>
    <n v="5.6"/>
    <n v="1377.6"/>
  </r>
  <r>
    <x v="2"/>
    <x v="5"/>
    <x v="9"/>
    <n v="707"/>
    <n v="174"/>
    <n v="3.11"/>
    <n v="541.14"/>
  </r>
  <r>
    <x v="1"/>
    <x v="1"/>
    <x v="0"/>
    <n v="3598"/>
    <n v="81"/>
    <n v="14.49"/>
    <n v="1173.69"/>
  </r>
  <r>
    <x v="0"/>
    <x v="1"/>
    <x v="7"/>
    <n v="6853"/>
    <n v="372"/>
    <n v="9.77"/>
    <n v="3634.44"/>
  </r>
  <r>
    <x v="0"/>
    <x v="1"/>
    <x v="10"/>
    <n v="4725"/>
    <n v="174"/>
    <n v="8.7899999999999991"/>
    <n v="1529.4599999999998"/>
  </r>
  <r>
    <x v="3"/>
    <x v="2"/>
    <x v="1"/>
    <n v="10304"/>
    <n v="84"/>
    <n v="8.65"/>
    <n v="726.6"/>
  </r>
  <r>
    <x v="3"/>
    <x v="5"/>
    <x v="10"/>
    <n v="1274"/>
    <n v="225"/>
    <n v="8.7899999999999991"/>
    <n v="1977.7499999999998"/>
  </r>
  <r>
    <x v="6"/>
    <x v="2"/>
    <x v="0"/>
    <n v="1526"/>
    <n v="105"/>
    <n v="14.49"/>
    <n v="1521.45"/>
  </r>
  <r>
    <x v="0"/>
    <x v="3"/>
    <x v="19"/>
    <n v="3101"/>
    <n v="225"/>
    <n v="10.38"/>
    <n v="2335.5"/>
  </r>
  <r>
    <x v="7"/>
    <x v="0"/>
    <x v="8"/>
    <n v="1057"/>
    <n v="54"/>
    <n v="11.7"/>
    <n v="631.79999999999995"/>
  </r>
  <r>
    <x v="5"/>
    <x v="0"/>
    <x v="21"/>
    <n v="5306"/>
    <n v="0"/>
    <n v="5.6"/>
    <n v="0"/>
  </r>
  <r>
    <x v="6"/>
    <x v="3"/>
    <x v="17"/>
    <n v="4018"/>
    <n v="171"/>
    <n v="4.97"/>
    <n v="849.87"/>
  </r>
  <r>
    <x v="2"/>
    <x v="5"/>
    <x v="10"/>
    <n v="938"/>
    <n v="189"/>
    <n v="8.7899999999999991"/>
    <n v="1661.31"/>
  </r>
  <r>
    <x v="5"/>
    <x v="4"/>
    <x v="3"/>
    <n v="1778"/>
    <n v="270"/>
    <n v="6.47"/>
    <n v="1746.8999999999999"/>
  </r>
  <r>
    <x v="4"/>
    <x v="3"/>
    <x v="0"/>
    <n v="1638"/>
    <n v="63"/>
    <n v="14.49"/>
    <n v="912.87"/>
  </r>
  <r>
    <x v="3"/>
    <x v="4"/>
    <x v="4"/>
    <n v="154"/>
    <n v="21"/>
    <n v="13.15"/>
    <n v="276.15000000000003"/>
  </r>
  <r>
    <x v="5"/>
    <x v="0"/>
    <x v="7"/>
    <n v="9835"/>
    <n v="207"/>
    <n v="9.77"/>
    <n v="2022.3899999999999"/>
  </r>
  <r>
    <x v="2"/>
    <x v="0"/>
    <x v="13"/>
    <n v="7273"/>
    <n v="96"/>
    <n v="10.62"/>
    <n v="1019.52"/>
  </r>
  <r>
    <x v="6"/>
    <x v="3"/>
    <x v="7"/>
    <n v="6909"/>
    <n v="81"/>
    <n v="9.77"/>
    <n v="791.37"/>
  </r>
  <r>
    <x v="2"/>
    <x v="3"/>
    <x v="17"/>
    <n v="3920"/>
    <n v="306"/>
    <n v="4.97"/>
    <n v="1520.82"/>
  </r>
  <r>
    <x v="9"/>
    <x v="3"/>
    <x v="20"/>
    <n v="4858"/>
    <n v="279"/>
    <n v="9"/>
    <n v="2511"/>
  </r>
  <r>
    <x v="7"/>
    <x v="4"/>
    <x v="2"/>
    <n v="3549"/>
    <n v="3"/>
    <n v="11.88"/>
    <n v="35.64"/>
  </r>
  <r>
    <x v="5"/>
    <x v="3"/>
    <x v="18"/>
    <n v="966"/>
    <n v="198"/>
    <n v="16.73"/>
    <n v="3312.54"/>
  </r>
  <r>
    <x v="6"/>
    <x v="3"/>
    <x v="3"/>
    <n v="385"/>
    <n v="249"/>
    <n v="6.47"/>
    <n v="1611.03"/>
  </r>
  <r>
    <x v="4"/>
    <x v="5"/>
    <x v="10"/>
    <n v="2219"/>
    <n v="75"/>
    <n v="8.7899999999999991"/>
    <n v="659.24999999999989"/>
  </r>
  <r>
    <x v="2"/>
    <x v="2"/>
    <x v="1"/>
    <n v="2954"/>
    <n v="189"/>
    <n v="8.65"/>
    <n v="1634.8500000000001"/>
  </r>
  <r>
    <x v="5"/>
    <x v="2"/>
    <x v="1"/>
    <n v="280"/>
    <n v="87"/>
    <n v="8.65"/>
    <n v="752.55000000000007"/>
  </r>
  <r>
    <x v="3"/>
    <x v="2"/>
    <x v="0"/>
    <n v="6118"/>
    <n v="174"/>
    <n v="14.49"/>
    <n v="2521.2600000000002"/>
  </r>
  <r>
    <x v="7"/>
    <x v="3"/>
    <x v="16"/>
    <n v="4802"/>
    <n v="36"/>
    <n v="11.73"/>
    <n v="422.28000000000003"/>
  </r>
  <r>
    <x v="2"/>
    <x v="4"/>
    <x v="17"/>
    <n v="4137"/>
    <n v="60"/>
    <n v="4.97"/>
    <n v="298.2"/>
  </r>
  <r>
    <x v="8"/>
    <x v="1"/>
    <x v="14"/>
    <n v="2023"/>
    <n v="78"/>
    <n v="6.49"/>
    <n v="506.22"/>
  </r>
  <r>
    <x v="2"/>
    <x v="2"/>
    <x v="0"/>
    <n v="9051"/>
    <n v="57"/>
    <n v="14.49"/>
    <n v="825.93000000000006"/>
  </r>
  <r>
    <x v="2"/>
    <x v="0"/>
    <x v="19"/>
    <n v="2919"/>
    <n v="45"/>
    <n v="10.38"/>
    <n v="467.1"/>
  </r>
  <r>
    <x v="3"/>
    <x v="4"/>
    <x v="7"/>
    <n v="5915"/>
    <n v="3"/>
    <n v="9.77"/>
    <n v="29.31"/>
  </r>
  <r>
    <x v="9"/>
    <x v="1"/>
    <x v="16"/>
    <n v="2562"/>
    <n v="6"/>
    <n v="11.73"/>
    <n v="70.38"/>
  </r>
  <r>
    <x v="6"/>
    <x v="0"/>
    <x v="4"/>
    <n v="8813"/>
    <n v="21"/>
    <n v="13.15"/>
    <n v="276.15000000000003"/>
  </r>
  <r>
    <x v="6"/>
    <x v="2"/>
    <x v="3"/>
    <n v="6111"/>
    <n v="3"/>
    <n v="6.47"/>
    <n v="19.41"/>
  </r>
  <r>
    <x v="1"/>
    <x v="5"/>
    <x v="6"/>
    <n v="3507"/>
    <n v="288"/>
    <n v="5.79"/>
    <n v="1667.52"/>
  </r>
  <r>
    <x v="4"/>
    <x v="2"/>
    <x v="11"/>
    <n v="4319"/>
    <n v="30"/>
    <n v="9.33"/>
    <n v="279.89999999999998"/>
  </r>
  <r>
    <x v="0"/>
    <x v="4"/>
    <x v="21"/>
    <n v="609"/>
    <n v="87"/>
    <n v="5.6"/>
    <n v="487.2"/>
  </r>
  <r>
    <x v="0"/>
    <x v="3"/>
    <x v="18"/>
    <n v="6370"/>
    <n v="30"/>
    <n v="16.73"/>
    <n v="501.90000000000003"/>
  </r>
  <r>
    <x v="6"/>
    <x v="4"/>
    <x v="15"/>
    <n v="5474"/>
    <n v="168"/>
    <n v="7.64"/>
    <n v="1283.52"/>
  </r>
  <r>
    <x v="0"/>
    <x v="2"/>
    <x v="18"/>
    <n v="3164"/>
    <n v="306"/>
    <n v="16.73"/>
    <n v="5119.38"/>
  </r>
  <r>
    <x v="4"/>
    <x v="1"/>
    <x v="2"/>
    <n v="1302"/>
    <n v="402"/>
    <n v="11.88"/>
    <n v="4775.76"/>
  </r>
  <r>
    <x v="8"/>
    <x v="0"/>
    <x v="19"/>
    <n v="7308"/>
    <n v="327"/>
    <n v="10.38"/>
    <n v="3394.26"/>
  </r>
  <r>
    <x v="0"/>
    <x v="0"/>
    <x v="18"/>
    <n v="6132"/>
    <n v="93"/>
    <n v="16.73"/>
    <n v="1555.89"/>
  </r>
  <r>
    <x v="9"/>
    <x v="1"/>
    <x v="8"/>
    <n v="3472"/>
    <n v="96"/>
    <n v="11.7"/>
    <n v="1123.1999999999998"/>
  </r>
  <r>
    <x v="1"/>
    <x v="3"/>
    <x v="3"/>
    <n v="9660"/>
    <n v="27"/>
    <n v="6.47"/>
    <n v="174.69"/>
  </r>
  <r>
    <x v="2"/>
    <x v="4"/>
    <x v="21"/>
    <n v="2436"/>
    <n v="99"/>
    <n v="5.6"/>
    <n v="554.4"/>
  </r>
  <r>
    <x v="2"/>
    <x v="4"/>
    <x v="5"/>
    <n v="9506"/>
    <n v="87"/>
    <n v="12.37"/>
    <n v="1076.1899999999998"/>
  </r>
  <r>
    <x v="9"/>
    <x v="0"/>
    <x v="20"/>
    <n v="245"/>
    <n v="288"/>
    <n v="9"/>
    <n v="2592"/>
  </r>
  <r>
    <x v="1"/>
    <x v="1"/>
    <x v="13"/>
    <n v="2702"/>
    <n v="363"/>
    <n v="10.62"/>
    <n v="3855.0599999999995"/>
  </r>
  <r>
    <x v="9"/>
    <x v="5"/>
    <x v="9"/>
    <n v="700"/>
    <n v="87"/>
    <n v="3.11"/>
    <n v="270.57"/>
  </r>
  <r>
    <x v="4"/>
    <x v="5"/>
    <x v="9"/>
    <n v="3759"/>
    <n v="150"/>
    <n v="3.11"/>
    <n v="466.5"/>
  </r>
  <r>
    <x v="7"/>
    <x v="1"/>
    <x v="9"/>
    <n v="1589"/>
    <n v="303"/>
    <n v="3.11"/>
    <n v="942.32999999999993"/>
  </r>
  <r>
    <x v="5"/>
    <x v="1"/>
    <x v="19"/>
    <n v="5194"/>
    <n v="288"/>
    <n v="10.38"/>
    <n v="2989.44"/>
  </r>
  <r>
    <x v="9"/>
    <x v="2"/>
    <x v="11"/>
    <n v="945"/>
    <n v="75"/>
    <n v="9.33"/>
    <n v="699.75"/>
  </r>
  <r>
    <x v="0"/>
    <x v="4"/>
    <x v="6"/>
    <n v="1988"/>
    <n v="39"/>
    <n v="5.79"/>
    <n v="225.81"/>
  </r>
  <r>
    <x v="4"/>
    <x v="5"/>
    <x v="1"/>
    <n v="6734"/>
    <n v="123"/>
    <n v="8.65"/>
    <n v="1063.95"/>
  </r>
  <r>
    <x v="0"/>
    <x v="2"/>
    <x v="2"/>
    <n v="217"/>
    <n v="36"/>
    <n v="11.88"/>
    <n v="427.68"/>
  </r>
  <r>
    <x v="6"/>
    <x v="5"/>
    <x v="7"/>
    <n v="6279"/>
    <n v="237"/>
    <n v="9.77"/>
    <n v="2315.4899999999998"/>
  </r>
  <r>
    <x v="0"/>
    <x v="2"/>
    <x v="11"/>
    <n v="4424"/>
    <n v="201"/>
    <n v="9.33"/>
    <n v="1875.33"/>
  </r>
  <r>
    <x v="7"/>
    <x v="2"/>
    <x v="9"/>
    <n v="189"/>
    <n v="48"/>
    <n v="3.11"/>
    <n v="149.28"/>
  </r>
  <r>
    <x v="6"/>
    <x v="1"/>
    <x v="7"/>
    <n v="490"/>
    <n v="84"/>
    <n v="9.77"/>
    <n v="820.68"/>
  </r>
  <r>
    <x v="1"/>
    <x v="0"/>
    <x v="20"/>
    <n v="434"/>
    <n v="87"/>
    <n v="9"/>
    <n v="783"/>
  </r>
  <r>
    <x v="5"/>
    <x v="4"/>
    <x v="0"/>
    <n v="10129"/>
    <n v="312"/>
    <n v="14.49"/>
    <n v="4520.88"/>
  </r>
  <r>
    <x v="8"/>
    <x v="3"/>
    <x v="19"/>
    <n v="1652"/>
    <n v="102"/>
    <n v="10.38"/>
    <n v="1058.76"/>
  </r>
  <r>
    <x v="1"/>
    <x v="4"/>
    <x v="20"/>
    <n v="6433"/>
    <n v="78"/>
    <n v="9"/>
    <n v="702"/>
  </r>
  <r>
    <x v="8"/>
    <x v="5"/>
    <x v="14"/>
    <n v="2212"/>
    <n v="117"/>
    <n v="6.49"/>
    <n v="759.33"/>
  </r>
  <r>
    <x v="3"/>
    <x v="1"/>
    <x v="15"/>
    <n v="609"/>
    <n v="99"/>
    <n v="7.64"/>
    <n v="756.36"/>
  </r>
  <r>
    <x v="0"/>
    <x v="1"/>
    <x v="17"/>
    <n v="1638"/>
    <n v="48"/>
    <n v="4.97"/>
    <n v="238.56"/>
  </r>
  <r>
    <x v="5"/>
    <x v="5"/>
    <x v="16"/>
    <n v="3829"/>
    <n v="24"/>
    <n v="11.73"/>
    <n v="281.52"/>
  </r>
  <r>
    <x v="0"/>
    <x v="3"/>
    <x v="16"/>
    <n v="5775"/>
    <n v="42"/>
    <n v="11.73"/>
    <n v="492.66"/>
  </r>
  <r>
    <x v="4"/>
    <x v="1"/>
    <x v="13"/>
    <n v="1071"/>
    <n v="270"/>
    <n v="10.62"/>
    <n v="2867.3999999999996"/>
  </r>
  <r>
    <x v="1"/>
    <x v="2"/>
    <x v="14"/>
    <n v="5019"/>
    <n v="150"/>
    <n v="6.49"/>
    <n v="973.5"/>
  </r>
  <r>
    <x v="7"/>
    <x v="0"/>
    <x v="16"/>
    <n v="2863"/>
    <n v="42"/>
    <n v="11.73"/>
    <n v="492.66"/>
  </r>
  <r>
    <x v="0"/>
    <x v="1"/>
    <x v="12"/>
    <n v="1617"/>
    <n v="126"/>
    <n v="7.16"/>
    <n v="902.16"/>
  </r>
  <r>
    <x v="4"/>
    <x v="0"/>
    <x v="21"/>
    <n v="6818"/>
    <n v="6"/>
    <n v="5.6"/>
    <n v="33.599999999999994"/>
  </r>
  <r>
    <x v="8"/>
    <x v="1"/>
    <x v="16"/>
    <n v="6657"/>
    <n v="276"/>
    <n v="11.73"/>
    <n v="3237.48"/>
  </r>
  <r>
    <x v="8"/>
    <x v="5"/>
    <x v="9"/>
    <n v="2919"/>
    <n v="93"/>
    <n v="3.11"/>
    <n v="289.22999999999996"/>
  </r>
  <r>
    <x v="7"/>
    <x v="2"/>
    <x v="6"/>
    <n v="3094"/>
    <n v="246"/>
    <n v="5.79"/>
    <n v="1424.34"/>
  </r>
  <r>
    <x v="4"/>
    <x v="3"/>
    <x v="17"/>
    <n v="2989"/>
    <n v="3"/>
    <n v="4.97"/>
    <n v="14.91"/>
  </r>
  <r>
    <x v="1"/>
    <x v="4"/>
    <x v="18"/>
    <n v="2268"/>
    <n v="63"/>
    <n v="16.73"/>
    <n v="1053.99"/>
  </r>
  <r>
    <x v="6"/>
    <x v="1"/>
    <x v="6"/>
    <n v="4753"/>
    <n v="246"/>
    <n v="5.79"/>
    <n v="1424.34"/>
  </r>
  <r>
    <x v="7"/>
    <x v="5"/>
    <x v="15"/>
    <n v="7511"/>
    <n v="120"/>
    <n v="7.64"/>
    <n v="916.8"/>
  </r>
  <r>
    <x v="7"/>
    <x v="4"/>
    <x v="6"/>
    <n v="4326"/>
    <n v="348"/>
    <n v="5.79"/>
    <n v="2014.92"/>
  </r>
  <r>
    <x v="3"/>
    <x v="5"/>
    <x v="14"/>
    <n v="4935"/>
    <n v="126"/>
    <n v="6.49"/>
    <n v="817.74"/>
  </r>
  <r>
    <x v="4"/>
    <x v="1"/>
    <x v="0"/>
    <n v="4781"/>
    <n v="123"/>
    <n v="14.49"/>
    <n v="1782.27"/>
  </r>
  <r>
    <x v="6"/>
    <x v="4"/>
    <x v="4"/>
    <n v="7483"/>
    <n v="45"/>
    <n v="13.15"/>
    <n v="591.75"/>
  </r>
  <r>
    <x v="9"/>
    <x v="4"/>
    <x v="2"/>
    <n v="6860"/>
    <n v="126"/>
    <n v="11.88"/>
    <n v="1496.88"/>
  </r>
  <r>
    <x v="0"/>
    <x v="0"/>
    <x v="12"/>
    <n v="9002"/>
    <n v="72"/>
    <n v="7.16"/>
    <n v="515.52"/>
  </r>
  <r>
    <x v="4"/>
    <x v="2"/>
    <x v="12"/>
    <n v="1400"/>
    <n v="135"/>
    <n v="7.16"/>
    <n v="966.6"/>
  </r>
  <r>
    <x v="9"/>
    <x v="5"/>
    <x v="7"/>
    <n v="4053"/>
    <n v="24"/>
    <n v="9.77"/>
    <n v="234.48"/>
  </r>
  <r>
    <x v="5"/>
    <x v="2"/>
    <x v="6"/>
    <n v="2149"/>
    <n v="117"/>
    <n v="5.79"/>
    <n v="677.43"/>
  </r>
  <r>
    <x v="8"/>
    <x v="3"/>
    <x v="12"/>
    <n v="3640"/>
    <n v="51"/>
    <n v="7.16"/>
    <n v="365.16"/>
  </r>
  <r>
    <x v="7"/>
    <x v="3"/>
    <x v="14"/>
    <n v="630"/>
    <n v="36"/>
    <n v="6.49"/>
    <n v="233.64000000000001"/>
  </r>
  <r>
    <x v="2"/>
    <x v="1"/>
    <x v="18"/>
    <n v="2429"/>
    <n v="144"/>
    <n v="16.73"/>
    <n v="2409.12"/>
  </r>
  <r>
    <x v="2"/>
    <x v="2"/>
    <x v="4"/>
    <n v="2142"/>
    <n v="114"/>
    <n v="13.15"/>
    <n v="1499.1000000000001"/>
  </r>
  <r>
    <x v="5"/>
    <x v="0"/>
    <x v="0"/>
    <n v="6454"/>
    <n v="54"/>
    <n v="14.49"/>
    <n v="782.46"/>
  </r>
  <r>
    <x v="5"/>
    <x v="0"/>
    <x v="10"/>
    <n v="4487"/>
    <n v="333"/>
    <n v="8.7899999999999991"/>
    <n v="2927.0699999999997"/>
  </r>
  <r>
    <x v="8"/>
    <x v="0"/>
    <x v="2"/>
    <n v="938"/>
    <n v="366"/>
    <n v="11.88"/>
    <n v="4348.08"/>
  </r>
  <r>
    <x v="8"/>
    <x v="4"/>
    <x v="21"/>
    <n v="8841"/>
    <n v="303"/>
    <n v="5.6"/>
    <n v="1696.8"/>
  </r>
  <r>
    <x v="7"/>
    <x v="3"/>
    <x v="5"/>
    <n v="4018"/>
    <n v="126"/>
    <n v="12.37"/>
    <n v="1558.62"/>
  </r>
  <r>
    <x v="3"/>
    <x v="0"/>
    <x v="16"/>
    <n v="714"/>
    <n v="231"/>
    <n v="11.73"/>
    <n v="2709.63"/>
  </r>
  <r>
    <x v="2"/>
    <x v="4"/>
    <x v="4"/>
    <n v="3850"/>
    <n v="102"/>
    <n v="13.15"/>
    <n v="134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7B26E-AD22-4584-ABA0-6D987930AE30}" name="PivotTable15"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5"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11A51C-E66D-4C94-B4BB-746E71627248}"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B18"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2"/>
    <field x="0"/>
  </rowFields>
  <rowItems count="13">
    <i>
      <x/>
    </i>
    <i r="1">
      <x/>
    </i>
    <i>
      <x v="1"/>
    </i>
    <i r="1">
      <x/>
    </i>
    <i>
      <x v="2"/>
    </i>
    <i r="1">
      <x/>
    </i>
    <i>
      <x v="3"/>
    </i>
    <i r="1">
      <x v="1"/>
    </i>
    <i>
      <x v="4"/>
    </i>
    <i r="1">
      <x v="2"/>
    </i>
    <i>
      <x v="5"/>
    </i>
    <i r="1">
      <x v="3"/>
    </i>
    <i t="grand">
      <x/>
    </i>
  </rowItems>
  <colItems count="1">
    <i/>
  </colItems>
  <dataFields count="1">
    <dataField name="Sum of Amount" fld="1"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
      <autoFilter ref="A1">
        <filterColumn colId="0">
          <top1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60704B-5426-4714-8FD5-0AA1F3E0768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18" firstHeaderRow="1" firstDataRow="1" firstDataCol="1"/>
  <pivotFields count="3">
    <pivotField axis="axisRow" allDrilled="1" subtotalTop="0" showAll="0" measureFilter="1"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1"/>
    <field x="0"/>
  </rowFields>
  <rowItems count="13">
    <i>
      <x/>
    </i>
    <i r="1">
      <x/>
    </i>
    <i>
      <x v="1"/>
    </i>
    <i r="1">
      <x v="1"/>
    </i>
    <i>
      <x v="2"/>
    </i>
    <i r="1">
      <x v="1"/>
    </i>
    <i>
      <x v="3"/>
    </i>
    <i r="1">
      <x v="2"/>
    </i>
    <i>
      <x v="4"/>
    </i>
    <i r="1">
      <x/>
    </i>
    <i>
      <x v="5"/>
    </i>
    <i r="1">
      <x v="3"/>
    </i>
    <i t="grand">
      <x/>
    </i>
  </rowItems>
  <colItems count="1">
    <i/>
  </colItems>
  <dataFields count="1">
    <dataField name="Sum of Amount" fld="2"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
      <autoFilter ref="A1">
        <filterColumn colId="0">
          <top10 top="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7F732-33F4-4413-8381-5EE44C189A9F}" name="PivotTable2"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D9" firstHeaderRow="0" firstDataRow="1" firstDataCol="1"/>
  <pivotFields count="5">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v="4"/>
    </i>
    <i>
      <x v="3"/>
    </i>
    <i>
      <x v="1"/>
    </i>
    <i>
      <x/>
    </i>
    <i>
      <x v="2"/>
    </i>
    <i>
      <x v="5"/>
    </i>
  </rowItems>
  <colFields count="1">
    <field x="-2"/>
  </colFields>
  <colItems count="3">
    <i>
      <x/>
    </i>
    <i i="1">
      <x v="1"/>
    </i>
    <i i="2">
      <x v="2"/>
    </i>
  </colItems>
  <dataFields count="3">
    <dataField name="Sum of Amount" fld="0" baseField="0" baseItem="0"/>
    <dataField name="                                " fld="4" baseField="1" baseItem="0">
      <extLst>
        <ext xmlns:x14="http://schemas.microsoft.com/office/spreadsheetml/2009/9/main" uri="{E15A36E0-9728-4e99-A89B-3F7291B0FE68}">
          <x14:dataField sourceField="0" uniqueName="[__Xl2].[Measures].[Sum of Amount]"/>
        </ext>
      </extLst>
    </dataField>
    <dataField name="Sum of Units" fld="2" baseField="0" baseItem="0"/>
  </dataFields>
  <formats count="1">
    <format dxfId="5">
      <pivotArea dataOnly="0"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16">
    <pivotHierarchy multipleItemSelectionAllowed="1" dragToData="1">
      <members count="1" level="1">
        <member name="[Data].[Sales Person].&amp;[Barr Faughny]"/>
      </members>
    </pivotHierarchy>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665EC6-C106-47AF-A137-D732DFB1340C}"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888382-4884-4FA1-ABC7-5CD35F3AAD37}" name="PivotTable1"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D23" firstHeaderRow="0" firstDataRow="1" firstDataCol="1"/>
  <pivotFields count="5">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0">
    <i>
      <x v="5"/>
    </i>
    <i>
      <x v="18"/>
    </i>
    <i>
      <x v="14"/>
    </i>
    <i>
      <x v="15"/>
    </i>
    <i>
      <x v="12"/>
    </i>
    <i>
      <x v="2"/>
    </i>
    <i>
      <x v="17"/>
    </i>
    <i>
      <x v="3"/>
    </i>
    <i>
      <x v="1"/>
    </i>
    <i>
      <x v="13"/>
    </i>
    <i>
      <x v="4"/>
    </i>
    <i>
      <x v="10"/>
    </i>
    <i>
      <x/>
    </i>
    <i>
      <x v="8"/>
    </i>
    <i>
      <x v="19"/>
    </i>
    <i>
      <x v="16"/>
    </i>
    <i>
      <x v="11"/>
    </i>
    <i>
      <x v="7"/>
    </i>
    <i>
      <x v="9"/>
    </i>
    <i>
      <x v="6"/>
    </i>
  </rowItems>
  <colFields count="1">
    <field x="-2"/>
  </colFields>
  <colItems count="3">
    <i>
      <x/>
    </i>
    <i i="1">
      <x v="1"/>
    </i>
    <i i="2">
      <x v="2"/>
    </i>
  </colItems>
  <dataFields count="3">
    <dataField fld="1" subtotal="count" baseField="0" baseItem="0"/>
    <dataField name="Sum of Amount" fld="2" baseField="0" baseItem="0"/>
    <dataField name="Sum of Units" fld="3" baseField="0" baseItem="0"/>
  </dataFields>
  <conditionalFormats count="2">
    <conditionalFormat priority="2">
      <pivotAreas count="1">
        <pivotArea outline="0" fieldPosition="0">
          <references count="1">
            <reference field="4294967294" count="1">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15">
    <pivotHierarchy dragToData="1"/>
    <pivotHierarchy multipleItemSelectionAllowed="1" dragToData="1">
      <members count="1" level="1">
        <member name="[Data].[Geography].&amp;[New Zealan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2F7EA9-63DB-4B95-B7FF-B7B1BDEA5F01}"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K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actise_Excel.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92364A-4DBE-495D-B5B3-F208B5147A9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12" firstHeaderRow="1" firstDataRow="1" firstDataCol="1"/>
  <pivotFields count="7">
    <pivotField showAll="0">
      <items count="11">
        <item x="7"/>
        <item x="1"/>
        <item x="3"/>
        <item x="5"/>
        <item x="4"/>
        <item x="6"/>
        <item x="8"/>
        <item x="2"/>
        <item x="9"/>
        <item x="0"/>
        <item t="default"/>
      </items>
    </pivotField>
    <pivotField showAll="0">
      <items count="7">
        <item x="4"/>
        <item x="2"/>
        <item x="5"/>
        <item x="0"/>
        <item x="3"/>
        <item x="1"/>
        <item t="default"/>
      </items>
    </pivotField>
    <pivotField axis="axisRow" dataField="1" showAll="0" measureFilter="1">
      <items count="23">
        <item x="8"/>
        <item x="0"/>
        <item x="17"/>
        <item x="15"/>
        <item x="7"/>
        <item x="2"/>
        <item x="21"/>
        <item x="19"/>
        <item x="1"/>
        <item x="3"/>
        <item x="9"/>
        <item x="14"/>
        <item x="12"/>
        <item x="11"/>
        <item x="10"/>
        <item x="13"/>
        <item x="18"/>
        <item x="5"/>
        <item x="16"/>
        <item x="6"/>
        <item x="20"/>
        <item x="4"/>
        <item t="default"/>
      </items>
    </pivotField>
    <pivotField numFmtId="6" showAll="0"/>
    <pivotField numFmtId="3" showAll="0"/>
    <pivotField numFmtId="164" showAll="0"/>
    <pivotField numFmtId="166" showAll="0"/>
  </pivotFields>
  <rowFields count="1">
    <field x="2"/>
  </rowFields>
  <rowItems count="11">
    <i>
      <x v="1"/>
    </i>
    <i>
      <x v="4"/>
    </i>
    <i>
      <x v="6"/>
    </i>
    <i>
      <x v="7"/>
    </i>
    <i>
      <x v="10"/>
    </i>
    <i>
      <x v="11"/>
    </i>
    <i>
      <x v="12"/>
    </i>
    <i>
      <x v="14"/>
    </i>
    <i>
      <x v="16"/>
    </i>
    <i>
      <x v="21"/>
    </i>
    <i t="grand">
      <x/>
    </i>
  </rowItems>
  <colItems count="1">
    <i/>
  </colItems>
  <dataFields count="1">
    <dataField name="Count of Product" fld="2"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43A271-B0F5-48B9-9088-2780809A9458}" name="Country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8" firstHeaderRow="1" firstDataRow="1" firstDataCol="1"/>
  <pivotFields count="7">
    <pivotField showAll="0">
      <items count="11">
        <item x="7"/>
        <item x="1"/>
        <item x="3"/>
        <item x="5"/>
        <item x="4"/>
        <item x="6"/>
        <item x="8"/>
        <item x="2"/>
        <item x="9"/>
        <item x="0"/>
        <item t="default"/>
      </items>
    </pivotField>
    <pivotField axis="axisRow" showAll="0">
      <items count="7">
        <item x="4"/>
        <item x="2"/>
        <item x="5"/>
        <item x="0"/>
        <item x="3"/>
        <item x="1"/>
        <item t="default"/>
      </items>
    </pivotField>
    <pivotField showAll="0"/>
    <pivotField numFmtId="6" showAll="0"/>
    <pivotField dataField="1" numFmtId="3" showAll="0"/>
    <pivotField numFmtId="164" showAll="0"/>
    <pivotField numFmtId="166" showAll="0"/>
  </pivotFields>
  <rowFields count="1">
    <field x="1"/>
  </rowFields>
  <rowItems count="7">
    <i>
      <x/>
    </i>
    <i>
      <x v="1"/>
    </i>
    <i>
      <x v="2"/>
    </i>
    <i>
      <x v="3"/>
    </i>
    <i>
      <x v="4"/>
    </i>
    <i>
      <x v="5"/>
    </i>
    <i t="grand">
      <x/>
    </i>
  </rowItems>
  <colItems count="1">
    <i/>
  </colItems>
  <dataFields count="1">
    <dataField name="Average of Units" fld="4" subtotal="average" showDataAs="percentOfCol" baseField="0" baseItem="0" numFmtId="10"/>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 chart="4" format="13">
      <pivotArea type="data" outline="0" fieldPosition="0">
        <references count="2">
          <reference field="4294967294" count="1" selected="0">
            <x v="0"/>
          </reference>
          <reference field="1" count="1" selected="0">
            <x v="4"/>
          </reference>
        </references>
      </pivotArea>
    </chartFormat>
    <chartFormat chart="4" format="14">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E389C6-50F8-4199-BEE0-0232F666FDE9}" name="Country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4:N11" firstHeaderRow="1" firstDataRow="1" firstDataCol="1"/>
  <pivotFields count="7">
    <pivotField showAll="0">
      <items count="11">
        <item x="7"/>
        <item x="1"/>
        <item x="3"/>
        <item x="5"/>
        <item x="4"/>
        <item x="6"/>
        <item x="8"/>
        <item x="2"/>
        <item x="9"/>
        <item x="0"/>
        <item t="default"/>
      </items>
    </pivotField>
    <pivotField axis="axisRow" showAll="0">
      <items count="7">
        <item x="4"/>
        <item x="2"/>
        <item x="5"/>
        <item x="0"/>
        <item x="3"/>
        <item x="1"/>
        <item t="default"/>
      </items>
    </pivotField>
    <pivotField showAll="0"/>
    <pivotField dataField="1" numFmtId="6" showAll="0"/>
    <pivotField numFmtId="3" showAll="0"/>
    <pivotField numFmtId="164" showAll="0"/>
    <pivotField numFmtId="166" showAll="0"/>
  </pivotFields>
  <rowFields count="1">
    <field x="1"/>
  </rowFields>
  <rowItems count="7">
    <i>
      <x/>
    </i>
    <i>
      <x v="1"/>
    </i>
    <i>
      <x v="2"/>
    </i>
    <i>
      <x v="3"/>
    </i>
    <i>
      <x v="4"/>
    </i>
    <i>
      <x v="5"/>
    </i>
    <i t="grand">
      <x/>
    </i>
  </rowItems>
  <colItems count="1">
    <i/>
  </colItems>
  <dataFields count="1">
    <dataField name="Sum of Amount" fld="3" showDataAs="percentOfCol" baseField="0" baseItem="0" numFmtId="10"/>
  </dataFields>
  <chartFormats count="14">
    <chartFormat chart="2"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 chart="6" format="12">
      <pivotArea type="data" outline="0" fieldPosition="0">
        <references count="2">
          <reference field="4294967294" count="1" selected="0">
            <x v="0"/>
          </reference>
          <reference field="1" count="1" selected="0">
            <x v="3"/>
          </reference>
        </references>
      </pivotArea>
    </chartFormat>
    <chartFormat chart="6" format="13">
      <pivotArea type="data" outline="0" fieldPosition="0">
        <references count="2">
          <reference field="4294967294" count="1" selected="0">
            <x v="0"/>
          </reference>
          <reference field="1" count="1" selected="0">
            <x v="4"/>
          </reference>
        </references>
      </pivotArea>
    </chartFormat>
    <chartFormat chart="6" format="14">
      <pivotArea type="data" outline="0" fieldPosition="0">
        <references count="2">
          <reference field="4294967294" count="1" selected="0">
            <x v="0"/>
          </reference>
          <reference field="1" count="1" selected="0">
            <x v="5"/>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03E91E-BFA9-4C4C-B6C6-538A8F27BBC0}"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2" firstHeaderRow="0" firstDataRow="1" firstDataCol="0"/>
  <pivotFields count="7">
    <pivotField showAll="0">
      <items count="11">
        <item x="7"/>
        <item x="1"/>
        <item x="3"/>
        <item x="5"/>
        <item x="4"/>
        <item x="6"/>
        <item x="8"/>
        <item x="2"/>
        <item x="9"/>
        <item x="0"/>
        <item t="default"/>
      </items>
    </pivotField>
    <pivotField showAll="0">
      <items count="7">
        <item x="4"/>
        <item x="2"/>
        <item x="5"/>
        <item x="0"/>
        <item x="3"/>
        <item x="1"/>
        <item t="default"/>
      </items>
    </pivotField>
    <pivotField showAll="0"/>
    <pivotField dataField="1" numFmtId="6" showAll="0"/>
    <pivotField dataField="1" numFmtId="3" showAll="0"/>
    <pivotField numFmtId="164" showAll="0"/>
    <pivotField numFmtId="166" showAll="0"/>
  </pivotFields>
  <rowItems count="1">
    <i/>
  </rowItems>
  <colFields count="1">
    <field x="-2"/>
  </colFields>
  <colItems count="2">
    <i>
      <x/>
    </i>
    <i i="1">
      <x v="1"/>
    </i>
  </colItems>
  <dataFields count="2">
    <dataField name="Sum of Units" fld="4" baseField="0" baseItem="0" numFmtId="3"/>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2EDF36-FDFB-4FD9-93F4-F54C050A891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shj">
  <location ref="A1:B12" firstHeaderRow="1" firstDataRow="1" firstDataCol="1"/>
  <pivotFields count="7">
    <pivotField axis="axisRow" showAll="0">
      <items count="11">
        <item x="7"/>
        <item x="1"/>
        <item x="3"/>
        <item x="5"/>
        <item x="4"/>
        <item x="6"/>
        <item x="8"/>
        <item x="2"/>
        <item x="9"/>
        <item x="0"/>
        <item t="default"/>
      </items>
    </pivotField>
    <pivotField showAll="0">
      <items count="7">
        <item x="4"/>
        <item x="2"/>
        <item x="5"/>
        <item x="0"/>
        <item x="3"/>
        <item x="1"/>
        <item t="default"/>
      </items>
    </pivotField>
    <pivotField showAll="0"/>
    <pivotField numFmtId="6" showAll="0"/>
    <pivotField dataField="1" numFmtId="3" showAll="0"/>
    <pivotField numFmtId="164" showAll="0"/>
    <pivotField numFmtId="166" showAll="0"/>
  </pivotFields>
  <rowFields count="1">
    <field x="0"/>
  </rowFields>
  <rowItems count="11">
    <i>
      <x/>
    </i>
    <i>
      <x v="1"/>
    </i>
    <i>
      <x v="2"/>
    </i>
    <i>
      <x v="3"/>
    </i>
    <i>
      <x v="4"/>
    </i>
    <i>
      <x v="5"/>
    </i>
    <i>
      <x v="6"/>
    </i>
    <i>
      <x v="7"/>
    </i>
    <i>
      <x v="8"/>
    </i>
    <i>
      <x v="9"/>
    </i>
    <i t="grand">
      <x/>
    </i>
  </rowItems>
  <colItems count="1">
    <i/>
  </colItems>
  <dataFields count="1">
    <dataField name="Sum of Units" fld="4" baseField="0" baseItem="0" numFmtId="3"/>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8DB2C3-9A60-43E2-A2EC-089B086D9ADD}"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4:T18" firstHeaderRow="1" firstDataRow="3" firstDataCol="1"/>
  <pivotFields count="7">
    <pivotField axis="axisRow" showAll="0">
      <items count="11">
        <item h="1" x="7"/>
        <item h="1" x="1"/>
        <item x="3"/>
        <item h="1" x="5"/>
        <item h="1" x="4"/>
        <item h="1" x="6"/>
        <item h="1" x="8"/>
        <item h="1" x="2"/>
        <item h="1" x="9"/>
        <item h="1" x="0"/>
        <item t="default"/>
      </items>
    </pivotField>
    <pivotField axis="axisCol" dataField="1" showAll="0">
      <items count="7">
        <item x="4"/>
        <item x="2"/>
        <item x="5"/>
        <item x="0"/>
        <item x="3"/>
        <item x="1"/>
        <item t="default"/>
      </items>
    </pivotField>
    <pivotField showAll="0"/>
    <pivotField dataField="1" numFmtId="6" showAll="0"/>
    <pivotField numFmtId="3" showAll="0"/>
    <pivotField numFmtId="164" showAll="0"/>
    <pivotField numFmtId="166" showAll="0"/>
  </pivotFields>
  <rowFields count="1">
    <field x="0"/>
  </rowFields>
  <rowItems count="2">
    <i>
      <x v="2"/>
    </i>
    <i t="grand">
      <x/>
    </i>
  </rowItems>
  <colFields count="2">
    <field x="-2"/>
    <field x="1"/>
  </colFields>
  <colItems count="14">
    <i>
      <x/>
      <x/>
    </i>
    <i r="1">
      <x v="1"/>
    </i>
    <i r="1">
      <x v="2"/>
    </i>
    <i r="1">
      <x v="3"/>
    </i>
    <i r="1">
      <x v="4"/>
    </i>
    <i r="1">
      <x v="5"/>
    </i>
    <i i="1">
      <x v="1"/>
      <x/>
    </i>
    <i r="1" i="1">
      <x v="1"/>
    </i>
    <i r="1" i="1">
      <x v="2"/>
    </i>
    <i r="1" i="1">
      <x v="3"/>
    </i>
    <i r="1" i="1">
      <x v="4"/>
    </i>
    <i r="1" i="1">
      <x v="5"/>
    </i>
    <i t="grand">
      <x/>
    </i>
    <i t="grand" i="1">
      <x/>
    </i>
  </colItems>
  <dataFields count="2">
    <dataField name="Sum of Amount" fld="3" baseField="0" baseItem="0" numFmtId="6"/>
    <dataField name="Count of Geography" fld="1" subtotal="count"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1"/>
          </reference>
          <reference field="1" count="1" selected="0">
            <x v="0"/>
          </reference>
        </references>
      </pivotArea>
    </chartFormat>
    <chartFormat chart="0" format="7" series="1">
      <pivotArea type="data" outline="0" fieldPosition="0">
        <references count="2">
          <reference field="4294967294" count="1" selected="0">
            <x v="1"/>
          </reference>
          <reference field="1" count="1" selected="0">
            <x v="1"/>
          </reference>
        </references>
      </pivotArea>
    </chartFormat>
    <chartFormat chart="0" format="8" series="1">
      <pivotArea type="data" outline="0" fieldPosition="0">
        <references count="2">
          <reference field="4294967294" count="1" selected="0">
            <x v="1"/>
          </reference>
          <reference field="1" count="1" selected="0">
            <x v="2"/>
          </reference>
        </references>
      </pivotArea>
    </chartFormat>
    <chartFormat chart="0" format="9" series="1">
      <pivotArea type="data" outline="0" fieldPosition="0">
        <references count="2">
          <reference field="4294967294" count="1" selected="0">
            <x v="1"/>
          </reference>
          <reference field="1" count="1" selected="0">
            <x v="3"/>
          </reference>
        </references>
      </pivotArea>
    </chartFormat>
    <chartFormat chart="0" format="10" series="1">
      <pivotArea type="data" outline="0" fieldPosition="0">
        <references count="2">
          <reference field="4294967294" count="1" selected="0">
            <x v="1"/>
          </reference>
          <reference field="1" count="1" selected="0">
            <x v="4"/>
          </reference>
        </references>
      </pivotArea>
    </chartFormat>
    <chartFormat chart="0" format="11" series="1">
      <pivotArea type="data" outline="0" fieldPosition="0">
        <references count="2">
          <reference field="4294967294" count="1" selected="0">
            <x v="1"/>
          </reference>
          <reference field="1" count="1" selected="0">
            <x v="5"/>
          </reference>
        </references>
      </pivotArea>
    </chartFormat>
    <chartFormat chart="7" format="24" series="1">
      <pivotArea type="data" outline="0" fieldPosition="0">
        <references count="2">
          <reference field="4294967294" count="1" selected="0">
            <x v="0"/>
          </reference>
          <reference field="1" count="1" selected="0">
            <x v="0"/>
          </reference>
        </references>
      </pivotArea>
    </chartFormat>
    <chartFormat chart="7" format="25" series="1">
      <pivotArea type="data" outline="0" fieldPosition="0">
        <references count="2">
          <reference field="4294967294" count="1" selected="0">
            <x v="0"/>
          </reference>
          <reference field="1" count="1" selected="0">
            <x v="1"/>
          </reference>
        </references>
      </pivotArea>
    </chartFormat>
    <chartFormat chart="7" format="26" series="1">
      <pivotArea type="data" outline="0" fieldPosition="0">
        <references count="2">
          <reference field="4294967294" count="1" selected="0">
            <x v="0"/>
          </reference>
          <reference field="1" count="1" selected="0">
            <x v="2"/>
          </reference>
        </references>
      </pivotArea>
    </chartFormat>
    <chartFormat chart="7" format="27" series="1">
      <pivotArea type="data" outline="0" fieldPosition="0">
        <references count="2">
          <reference field="4294967294" count="1" selected="0">
            <x v="0"/>
          </reference>
          <reference field="1" count="1" selected="0">
            <x v="3"/>
          </reference>
        </references>
      </pivotArea>
    </chartFormat>
    <chartFormat chart="7" format="28" series="1">
      <pivotArea type="data" outline="0" fieldPosition="0">
        <references count="2">
          <reference field="4294967294" count="1" selected="0">
            <x v="0"/>
          </reference>
          <reference field="1" count="1" selected="0">
            <x v="4"/>
          </reference>
        </references>
      </pivotArea>
    </chartFormat>
    <chartFormat chart="7" format="29" series="1">
      <pivotArea type="data" outline="0" fieldPosition="0">
        <references count="2">
          <reference field="4294967294" count="1" selected="0">
            <x v="0"/>
          </reference>
          <reference field="1" count="1" selected="0">
            <x v="5"/>
          </reference>
        </references>
      </pivotArea>
    </chartFormat>
    <chartFormat chart="7" format="30" series="1">
      <pivotArea type="data" outline="0" fieldPosition="0">
        <references count="2">
          <reference field="4294967294" count="1" selected="0">
            <x v="1"/>
          </reference>
          <reference field="1" count="1" selected="0">
            <x v="0"/>
          </reference>
        </references>
      </pivotArea>
    </chartFormat>
    <chartFormat chart="7" format="31" series="1">
      <pivotArea type="data" outline="0" fieldPosition="0">
        <references count="2">
          <reference field="4294967294" count="1" selected="0">
            <x v="1"/>
          </reference>
          <reference field="1" count="1" selected="0">
            <x v="1"/>
          </reference>
        </references>
      </pivotArea>
    </chartFormat>
    <chartFormat chart="7" format="32" series="1">
      <pivotArea type="data" outline="0" fieldPosition="0">
        <references count="2">
          <reference field="4294967294" count="1" selected="0">
            <x v="1"/>
          </reference>
          <reference field="1" count="1" selected="0">
            <x v="2"/>
          </reference>
        </references>
      </pivotArea>
    </chartFormat>
    <chartFormat chart="7" format="33" series="1">
      <pivotArea type="data" outline="0" fieldPosition="0">
        <references count="2">
          <reference field="4294967294" count="1" selected="0">
            <x v="1"/>
          </reference>
          <reference field="1" count="1" selected="0">
            <x v="3"/>
          </reference>
        </references>
      </pivotArea>
    </chartFormat>
    <chartFormat chart="7" format="34" series="1">
      <pivotArea type="data" outline="0" fieldPosition="0">
        <references count="2">
          <reference field="4294967294" count="1" selected="0">
            <x v="1"/>
          </reference>
          <reference field="1" count="1" selected="0">
            <x v="4"/>
          </reference>
        </references>
      </pivotArea>
    </chartFormat>
    <chartFormat chart="7" format="35" series="1">
      <pivotArea type="data" outline="0" fieldPosition="0">
        <references count="2">
          <reference field="4294967294" count="1" selected="0">
            <x v="1"/>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A9A5454-1062-4A10-8CF8-FF822203CB81}" sourceName="[Data].[Sales Person]">
  <pivotTables>
    <pivotTable tabId="5" name="PivotTable2"/>
  </pivotTables>
  <data>
    <olap pivotCacheId="482888014">
      <levels count="2">
        <level uniqueName="[Data].[Sales Person].[(All)]" sourceCaption="(All)" count="0"/>
        <level uniqueName="[Data].[Sales Person].[Sales Person]" sourceCaption="Sales Person" count="10">
          <ranges>
            <range startItem="0">
              <i n="[Data].[Sales Person].&amp;[Barr Faughny]" c="Barr Faughny"/>
              <i n="[Data].[Sales Person].&amp;[Brien Boise]" c="Brien Boise"/>
              <i n="[Data].[Sales Person].&amp;[Carla Molina]" c="Carla Molina"/>
              <i n="[Data].[Sales Person].&amp;[Ches Bonnell]" c="Ches Bonnell"/>
              <i n="[Data].[Sales Person].&amp;[Curtice Advani]" c="Curtice Advani"/>
              <i n="[Data].[Sales Person].&amp;[Gigi Bohling]" c="Gigi Bohling"/>
              <i n="[Data].[Sales Person].&amp;[Gunar Cockshoot]" c="Gunar Cockshoot"/>
              <i n="[Data].[Sales Person].&amp;[Husein Augar]" c="Husein Augar"/>
              <i n="[Data].[Sales Person].&amp;[Oby Sorrel]" c="Oby Sorrel"/>
              <i n="[Data].[Sales Person].&amp;[Ram Mahesh]" c="Ram Mahesh"/>
            </range>
          </ranges>
        </level>
      </levels>
      <selections count="1">
        <selection n="[Data].[Sales Person].&amp;[Barr Faughn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3B3748DC-9EB0-4C4E-A797-1D4615E7EDB7}" sourceName="[Data].[Geography]">
  <pivotTables>
    <pivotTable tabId="11" name="PivotTable1"/>
  </pivotTables>
  <data>
    <olap pivotCacheId="145788">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New Zealan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10029B5A-1D42-44CD-9444-132F421A3C91}" sourceName="Geography">
  <pivotTables>
    <pivotTable tabId="12" name="PivotTable7"/>
    <pivotTable tabId="12" name="PivotTable1"/>
    <pivotTable tabId="12" name="PivotTable3"/>
    <pivotTable tabId="12" name="PivotTable8"/>
  </pivotTables>
  <data>
    <tabular pivotCacheId="415073263">
      <items count="6">
        <i x="4" s="1"/>
        <i x="2" s="1"/>
        <i x="5"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E00B3BE9-27B6-4855-A42D-8044E0DC7DB9}" sourceName="Sales Person">
  <pivotTables>
    <pivotTable tabId="12" name="PivotTable1"/>
    <pivotTable tabId="12" name="Country1"/>
    <pivotTable tabId="12" name="PivotTable3"/>
    <pivotTable tabId="12" name="PivotTable8"/>
    <pivotTable tabId="12" name="Country2"/>
  </pivotTables>
  <data>
    <tabular pivotCacheId="415073263">
      <items count="10">
        <i x="7" s="1"/>
        <i x="1" s="1"/>
        <i x="3" s="1"/>
        <i x="5" s="1"/>
        <i x="4" s="1"/>
        <i x="6" s="1"/>
        <i x="8" s="1"/>
        <i x="2"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694784B-2280-415A-84C5-B34D494D3197}" cache="Slicer_Sales_Person" caption="Sales Person" columnCount="2"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BA28300F-ECBA-4A1E-8AEB-94B5551472E1}" cache="Slicer_Geography" caption="Geograph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4CA09874-0284-4FB6-8C21-C6AC2254DA74}" cache="Slicer_Geography1" caption="Geography" rowHeight="234950"/>
  <slicer name="Sales Person 1" xr10:uid="{A0ADDF1B-6D6F-4E84-A4E1-3C5C957490C3}" cache="Slicer_Sales_Person1" caption="Sales Person" startItem="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2" xr10:uid="{2EAF4361-372A-4B53-9A5E-8C6F802C8A34}" cache="Slicer_Geography1" caption="Geography" style="SlicerStyleDark1" rowHeight="365760"/>
  <slicer name="Sales Person 2" xr10:uid="{49695537-404F-42F6-A50E-5EED181D043A}" cache="Slicer_Sales_Person1" caption="Sales Person" style="SlicerStyleDark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 displayName="products" ref="AA11:AB33" totalsRowShown="0">
  <autoFilter ref="AA11:AB33" xr:uid="{00000000-0009-0000-0100-000001000000}"/>
  <tableColumns count="2">
    <tableColumn id="1" xr3:uid="{00000000-0010-0000-0000-000001000000}" name="Product"/>
    <tableColumn id="2" xr3:uid="{00000000-0010-0000-0000-000002000000}" name="Cost per unit"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0FC75F-02FB-46E3-A2BC-BA9C886C030E}" name="Data" displayName="Data" ref="C11:I311" totalsRowShown="0" headerRowDxfId="16">
  <autoFilter ref="C11:I311" xr:uid="{510FC75F-02FB-46E3-A2BC-BA9C886C030E}"/>
  <tableColumns count="7">
    <tableColumn id="1" xr3:uid="{4F3CAF24-2D7C-4F9E-AB6A-82D1D709787F}" name="Sales Person"/>
    <tableColumn id="2" xr3:uid="{4EA5CCBD-8412-4C1F-A179-369D28082C7B}" name="Geography"/>
    <tableColumn id="3" xr3:uid="{FCE85F75-80FF-4801-9998-9BDC2B74FDEE}" name="Product"/>
    <tableColumn id="4" xr3:uid="{E11F4343-FCEE-4B50-98D6-AAD4973FBEC8}" name="Amount" dataDxfId="15"/>
    <tableColumn id="5" xr3:uid="{D3F3BF20-04DD-466E-A23C-F464EE50485A}" name="Units" dataDxfId="14"/>
    <tableColumn id="6" xr3:uid="{88B31340-88F1-4B9E-B4D5-15870C55DDDB}" name="Cost Per Unit" dataDxfId="13">
      <calculatedColumnFormula>_xlfn.XLOOKUP(Data[[#This Row],[Product]],products[Product],products[Cost per unit])</calculatedColumnFormula>
    </tableColumn>
    <tableColumn id="7" xr3:uid="{F02A5FAB-2074-4624-B7A6-A89919C6AB22}" name="Cost" dataDxfId="12">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BB7849-10B4-4C7C-83E0-8790102FBA14}" name="Data5" displayName="Data5" ref="A3:E303" totalsRowShown="0" headerRowDxfId="11">
  <autoFilter ref="A3:E303" xr:uid="{31BB7849-10B4-4C7C-83E0-8790102FBA14}"/>
  <tableColumns count="5">
    <tableColumn id="1" xr3:uid="{2E7B18C7-6EEA-42CC-8305-54FBB2A7D20F}" name="Sales Person"/>
    <tableColumn id="2" xr3:uid="{4E4446C5-5BD9-4277-963B-E3624ED6A9AA}" name="Geography"/>
    <tableColumn id="3" xr3:uid="{76F35E36-78AA-4249-8A39-7C6B5C3B07DE}" name="Product"/>
    <tableColumn id="4" xr3:uid="{44DF8486-AEDE-4E3D-800E-789493E99B23}" name="Amount" dataDxfId="10"/>
    <tableColumn id="5" xr3:uid="{207ABFE1-8F81-4E1D-867E-FB2712207E52}" name="Units"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ABE6F3-B1CC-49EB-88C5-3CDF6A1A7164}" name="Data4" displayName="Data4" ref="A3:E303" totalsRowShown="0" headerRowDxfId="8">
  <autoFilter ref="A3:E303" xr:uid="{79ABE6F3-B1CC-49EB-88C5-3CDF6A1A7164}"/>
  <tableColumns count="5">
    <tableColumn id="1" xr3:uid="{F3D9935D-7755-455F-9480-455D3CD05BDE}" name="Sales Person"/>
    <tableColumn id="2" xr3:uid="{22BDD93E-71E2-454D-B05E-BA9A44C9DC10}" name="Geography"/>
    <tableColumn id="3" xr3:uid="{343A653A-9DE0-4EBB-8AE7-41D636F6A989}" name="Product"/>
    <tableColumn id="4" xr3:uid="{48ACA301-A67E-4168-8A75-1008F4475502}" name="Amount" dataDxfId="7"/>
    <tableColumn id="5" xr3:uid="{8CA54C98-39E9-4FEB-8A3D-F08CF78D4835}" name="Units"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3.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8"/>
  <sheetViews>
    <sheetView showGridLines="0" zoomScale="105" zoomScaleNormal="145" workbookViewId="0">
      <selection activeCell="M38" sqref="M38"/>
    </sheetView>
  </sheetViews>
  <sheetFormatPr defaultRowHeight="14.4"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5.44140625" bestFit="1" customWidth="1"/>
    <col min="8" max="9" width="11.6640625" customWidth="1"/>
    <col min="12" max="12" width="3.88671875" customWidth="1"/>
    <col min="13" max="13" width="53.88671875" customWidth="1"/>
    <col min="27" max="27" width="21.88671875" bestFit="1" customWidth="1"/>
    <col min="28" max="28" width="14.44140625" customWidth="1"/>
    <col min="33" max="33" width="21.88671875" customWidth="1"/>
  </cols>
  <sheetData>
    <row r="1" spans="1:28" s="2" customFormat="1" ht="52.5" customHeight="1" x14ac:dyDescent="0.3">
      <c r="A1" s="1"/>
      <c r="C1" s="3" t="s">
        <v>42</v>
      </c>
    </row>
    <row r="11" spans="1:28" x14ac:dyDescent="0.3">
      <c r="C11" s="6" t="s">
        <v>11</v>
      </c>
      <c r="D11" s="6" t="s">
        <v>12</v>
      </c>
      <c r="E11" s="6" t="s">
        <v>0</v>
      </c>
      <c r="F11" s="10" t="s">
        <v>1</v>
      </c>
      <c r="G11" s="10" t="s">
        <v>50</v>
      </c>
      <c r="H11" s="10" t="s">
        <v>77</v>
      </c>
      <c r="I11" s="10" t="s">
        <v>78</v>
      </c>
      <c r="L11" s="9" t="s">
        <v>43</v>
      </c>
      <c r="M11" s="2"/>
      <c r="AA11" t="s">
        <v>0</v>
      </c>
      <c r="AB11" t="s">
        <v>51</v>
      </c>
    </row>
    <row r="12" spans="1:28" x14ac:dyDescent="0.3">
      <c r="C12" t="s">
        <v>40</v>
      </c>
      <c r="D12" t="s">
        <v>37</v>
      </c>
      <c r="E12" t="s">
        <v>30</v>
      </c>
      <c r="F12" s="4">
        <v>1624</v>
      </c>
      <c r="G12" s="5">
        <v>114</v>
      </c>
      <c r="H12" s="12">
        <f>_xlfn.XLOOKUP(Data[[#This Row],[Product]],products[Product],products[Cost per unit])</f>
        <v>14.49</v>
      </c>
      <c r="I12" s="32">
        <f>Data[[#This Row],[Cost Per Unit]]*Data[[#This Row],[Units]]</f>
        <v>1651.8600000000001</v>
      </c>
      <c r="L12" s="7">
        <v>1</v>
      </c>
      <c r="M12" s="8" t="s">
        <v>44</v>
      </c>
      <c r="AA12" t="s">
        <v>13</v>
      </c>
      <c r="AB12" s="11">
        <v>9.33</v>
      </c>
    </row>
    <row r="13" spans="1:28" x14ac:dyDescent="0.3">
      <c r="C13" t="s">
        <v>8</v>
      </c>
      <c r="D13" t="s">
        <v>35</v>
      </c>
      <c r="E13" t="s">
        <v>32</v>
      </c>
      <c r="F13" s="4">
        <v>6706</v>
      </c>
      <c r="G13" s="5">
        <v>459</v>
      </c>
      <c r="H13" s="12">
        <f>_xlfn.XLOOKUP(Data[[#This Row],[Product]],products[Product],products[Cost per unit])</f>
        <v>8.65</v>
      </c>
      <c r="I13" s="32">
        <f>Data[[#This Row],[Cost Per Unit]]*Data[[#This Row],[Units]]</f>
        <v>3970.3500000000004</v>
      </c>
      <c r="L13" s="7">
        <v>2</v>
      </c>
      <c r="M13" s="8" t="s">
        <v>53</v>
      </c>
      <c r="AA13" t="s">
        <v>14</v>
      </c>
      <c r="AB13" s="11">
        <v>11.7</v>
      </c>
    </row>
    <row r="14" spans="1:28" x14ac:dyDescent="0.3">
      <c r="C14" t="s">
        <v>9</v>
      </c>
      <c r="D14" t="s">
        <v>35</v>
      </c>
      <c r="E14" t="s">
        <v>4</v>
      </c>
      <c r="F14" s="4">
        <v>959</v>
      </c>
      <c r="G14" s="5">
        <v>147</v>
      </c>
      <c r="H14" s="12">
        <f>_xlfn.XLOOKUP(Data[[#This Row],[Product]],products[Product],products[Cost per unit])</f>
        <v>11.88</v>
      </c>
      <c r="I14" s="32">
        <f>Data[[#This Row],[Cost Per Unit]]*Data[[#This Row],[Units]]</f>
        <v>1746.3600000000001</v>
      </c>
      <c r="L14" s="7">
        <v>3</v>
      </c>
      <c r="M14" s="8" t="s">
        <v>45</v>
      </c>
      <c r="AA14" t="s">
        <v>4</v>
      </c>
      <c r="AB14" s="11">
        <v>11.88</v>
      </c>
    </row>
    <row r="15" spans="1:28" x14ac:dyDescent="0.3">
      <c r="C15" t="s">
        <v>41</v>
      </c>
      <c r="D15" t="s">
        <v>36</v>
      </c>
      <c r="E15" t="s">
        <v>18</v>
      </c>
      <c r="F15" s="4">
        <v>9632</v>
      </c>
      <c r="G15" s="5">
        <v>288</v>
      </c>
      <c r="H15" s="12">
        <f>_xlfn.XLOOKUP(Data[[#This Row],[Product]],products[Product],products[Cost per unit])</f>
        <v>6.47</v>
      </c>
      <c r="I15" s="32">
        <f>Data[[#This Row],[Cost Per Unit]]*Data[[#This Row],[Units]]</f>
        <v>1863.36</v>
      </c>
      <c r="L15" s="7">
        <v>4</v>
      </c>
      <c r="M15" s="8" t="s">
        <v>46</v>
      </c>
      <c r="AA15" t="s">
        <v>15</v>
      </c>
      <c r="AB15" s="11">
        <v>11.73</v>
      </c>
    </row>
    <row r="16" spans="1:28" x14ac:dyDescent="0.3">
      <c r="C16" t="s">
        <v>6</v>
      </c>
      <c r="D16" t="s">
        <v>39</v>
      </c>
      <c r="E16" t="s">
        <v>25</v>
      </c>
      <c r="F16" s="4">
        <v>2100</v>
      </c>
      <c r="G16" s="5">
        <v>414</v>
      </c>
      <c r="H16" s="12">
        <f>_xlfn.XLOOKUP(Data[[#This Row],[Product]],products[Product],products[Cost per unit])</f>
        <v>13.15</v>
      </c>
      <c r="I16" s="32">
        <f>Data[[#This Row],[Cost Per Unit]]*Data[[#This Row],[Units]]</f>
        <v>5444.1</v>
      </c>
      <c r="L16" s="7">
        <v>5</v>
      </c>
      <c r="M16" s="8" t="s">
        <v>54</v>
      </c>
      <c r="AA16" t="s">
        <v>16</v>
      </c>
      <c r="AB16" s="11">
        <v>8.7899999999999991</v>
      </c>
    </row>
    <row r="17" spans="3:28" x14ac:dyDescent="0.3">
      <c r="C17" t="s">
        <v>40</v>
      </c>
      <c r="D17" t="s">
        <v>35</v>
      </c>
      <c r="E17" t="s">
        <v>33</v>
      </c>
      <c r="F17" s="4">
        <v>8869</v>
      </c>
      <c r="G17" s="5">
        <v>432</v>
      </c>
      <c r="H17" s="12">
        <f>_xlfn.XLOOKUP(Data[[#This Row],[Product]],products[Product],products[Cost per unit])</f>
        <v>12.37</v>
      </c>
      <c r="I17" s="32">
        <f>Data[[#This Row],[Cost Per Unit]]*Data[[#This Row],[Units]]</f>
        <v>5343.8399999999992</v>
      </c>
      <c r="L17" s="7">
        <v>6</v>
      </c>
      <c r="M17" s="8" t="s">
        <v>55</v>
      </c>
      <c r="AA17" t="s">
        <v>17</v>
      </c>
      <c r="AB17" s="11">
        <v>3.11</v>
      </c>
    </row>
    <row r="18" spans="3:28" x14ac:dyDescent="0.3">
      <c r="C18" t="s">
        <v>6</v>
      </c>
      <c r="D18" t="s">
        <v>38</v>
      </c>
      <c r="E18" t="s">
        <v>31</v>
      </c>
      <c r="F18" s="4">
        <v>2681</v>
      </c>
      <c r="G18" s="5">
        <v>54</v>
      </c>
      <c r="H18" s="12">
        <f>_xlfn.XLOOKUP(Data[[#This Row],[Product]],products[Product],products[Cost per unit])</f>
        <v>5.79</v>
      </c>
      <c r="I18" s="32">
        <f>Data[[#This Row],[Cost Per Unit]]*Data[[#This Row],[Units]]</f>
        <v>312.66000000000003</v>
      </c>
      <c r="L18" s="7">
        <v>7</v>
      </c>
      <c r="M18" s="8" t="s">
        <v>49</v>
      </c>
      <c r="AA18" t="s">
        <v>18</v>
      </c>
      <c r="AB18" s="11">
        <v>6.47</v>
      </c>
    </row>
    <row r="19" spans="3:28" x14ac:dyDescent="0.3">
      <c r="C19" t="s">
        <v>8</v>
      </c>
      <c r="D19" t="s">
        <v>35</v>
      </c>
      <c r="E19" t="s">
        <v>22</v>
      </c>
      <c r="F19" s="4">
        <v>5012</v>
      </c>
      <c r="G19" s="5">
        <v>210</v>
      </c>
      <c r="H19" s="12">
        <f>_xlfn.XLOOKUP(Data[[#This Row],[Product]],products[Product],products[Cost per unit])</f>
        <v>9.77</v>
      </c>
      <c r="I19" s="32">
        <f>Data[[#This Row],[Cost Per Unit]]*Data[[#This Row],[Units]]</f>
        <v>2051.6999999999998</v>
      </c>
      <c r="L19" s="7">
        <v>8</v>
      </c>
      <c r="M19" s="8" t="s">
        <v>52</v>
      </c>
      <c r="AA19" t="s">
        <v>19</v>
      </c>
      <c r="AB19" s="11">
        <v>7.64</v>
      </c>
    </row>
    <row r="20" spans="3:28" x14ac:dyDescent="0.3">
      <c r="C20" t="s">
        <v>7</v>
      </c>
      <c r="D20" t="s">
        <v>38</v>
      </c>
      <c r="E20" t="s">
        <v>14</v>
      </c>
      <c r="F20" s="4">
        <v>1281</v>
      </c>
      <c r="G20" s="5">
        <v>75</v>
      </c>
      <c r="H20" s="12">
        <f>_xlfn.XLOOKUP(Data[[#This Row],[Product]],products[Product],products[Cost per unit])</f>
        <v>11.7</v>
      </c>
      <c r="I20" s="32">
        <f>Data[[#This Row],[Cost Per Unit]]*Data[[#This Row],[Units]]</f>
        <v>877.5</v>
      </c>
      <c r="L20" s="7">
        <v>9</v>
      </c>
      <c r="M20" s="8" t="s">
        <v>47</v>
      </c>
      <c r="AA20" t="s">
        <v>20</v>
      </c>
      <c r="AB20" s="11">
        <v>10.62</v>
      </c>
    </row>
    <row r="21" spans="3:28" x14ac:dyDescent="0.3">
      <c r="C21" t="s">
        <v>5</v>
      </c>
      <c r="D21" t="s">
        <v>37</v>
      </c>
      <c r="E21" t="s">
        <v>14</v>
      </c>
      <c r="F21" s="4">
        <v>4991</v>
      </c>
      <c r="G21" s="5">
        <v>12</v>
      </c>
      <c r="H21" s="12">
        <f>_xlfn.XLOOKUP(Data[[#This Row],[Product]],products[Product],products[Cost per unit])</f>
        <v>11.7</v>
      </c>
      <c r="I21" s="32">
        <f>Data[[#This Row],[Cost Per Unit]]*Data[[#This Row],[Units]]</f>
        <v>140.39999999999998</v>
      </c>
      <c r="L21" s="7">
        <v>10</v>
      </c>
      <c r="M21" s="8" t="s">
        <v>48</v>
      </c>
      <c r="AA21" t="s">
        <v>21</v>
      </c>
      <c r="AB21" s="11">
        <v>9</v>
      </c>
    </row>
    <row r="22" spans="3:28" x14ac:dyDescent="0.3">
      <c r="C22" t="s">
        <v>2</v>
      </c>
      <c r="D22" t="s">
        <v>39</v>
      </c>
      <c r="E22" t="s">
        <v>25</v>
      </c>
      <c r="F22" s="4">
        <v>1785</v>
      </c>
      <c r="G22" s="5">
        <v>462</v>
      </c>
      <c r="H22" s="12">
        <f>_xlfn.XLOOKUP(Data[[#This Row],[Product]],products[Product],products[Cost per unit])</f>
        <v>13.15</v>
      </c>
      <c r="I22" s="32">
        <f>Data[[#This Row],[Cost Per Unit]]*Data[[#This Row],[Units]]</f>
        <v>6075.3</v>
      </c>
      <c r="AA22" t="s">
        <v>22</v>
      </c>
      <c r="AB22" s="11">
        <v>9.77</v>
      </c>
    </row>
    <row r="23" spans="3:28" x14ac:dyDescent="0.3">
      <c r="C23" t="s">
        <v>3</v>
      </c>
      <c r="D23" t="s">
        <v>37</v>
      </c>
      <c r="E23" t="s">
        <v>17</v>
      </c>
      <c r="F23" s="4">
        <v>3983</v>
      </c>
      <c r="G23" s="5">
        <v>144</v>
      </c>
      <c r="H23" s="12">
        <f>_xlfn.XLOOKUP(Data[[#This Row],[Product]],products[Product],products[Cost per unit])</f>
        <v>3.11</v>
      </c>
      <c r="I23" s="32">
        <f>Data[[#This Row],[Cost Per Unit]]*Data[[#This Row],[Units]]</f>
        <v>447.84</v>
      </c>
      <c r="AA23" t="s">
        <v>23</v>
      </c>
      <c r="AB23" s="11">
        <v>6.49</v>
      </c>
    </row>
    <row r="24" spans="3:28" x14ac:dyDescent="0.3">
      <c r="C24" t="s">
        <v>9</v>
      </c>
      <c r="D24" t="s">
        <v>38</v>
      </c>
      <c r="E24" t="s">
        <v>16</v>
      </c>
      <c r="F24" s="4">
        <v>2646</v>
      </c>
      <c r="G24" s="5">
        <v>120</v>
      </c>
      <c r="H24" s="12">
        <f>_xlfn.XLOOKUP(Data[[#This Row],[Product]],products[Product],products[Cost per unit])</f>
        <v>8.7899999999999991</v>
      </c>
      <c r="I24" s="32">
        <f>Data[[#This Row],[Cost Per Unit]]*Data[[#This Row],[Units]]</f>
        <v>1054.8</v>
      </c>
      <c r="AA24" t="s">
        <v>24</v>
      </c>
      <c r="AB24" s="11">
        <v>4.97</v>
      </c>
    </row>
    <row r="25" spans="3:28" x14ac:dyDescent="0.3">
      <c r="C25" t="s">
        <v>2</v>
      </c>
      <c r="D25" t="s">
        <v>34</v>
      </c>
      <c r="E25" t="s">
        <v>13</v>
      </c>
      <c r="F25" s="4">
        <v>252</v>
      </c>
      <c r="G25" s="5">
        <v>54</v>
      </c>
      <c r="H25" s="12">
        <f>_xlfn.XLOOKUP(Data[[#This Row],[Product]],products[Product],products[Cost per unit])</f>
        <v>9.33</v>
      </c>
      <c r="I25" s="32">
        <f>Data[[#This Row],[Cost Per Unit]]*Data[[#This Row],[Units]]</f>
        <v>503.82</v>
      </c>
      <c r="AA25" t="s">
        <v>25</v>
      </c>
      <c r="AB25" s="11">
        <v>13.15</v>
      </c>
    </row>
    <row r="26" spans="3:28" x14ac:dyDescent="0.3">
      <c r="C26" t="s">
        <v>3</v>
      </c>
      <c r="D26" t="s">
        <v>35</v>
      </c>
      <c r="E26" t="s">
        <v>25</v>
      </c>
      <c r="F26" s="4">
        <v>2464</v>
      </c>
      <c r="G26" s="5">
        <v>234</v>
      </c>
      <c r="H26" s="12">
        <f>_xlfn.XLOOKUP(Data[[#This Row],[Product]],products[Product],products[Cost per unit])</f>
        <v>13.15</v>
      </c>
      <c r="I26" s="32">
        <f>Data[[#This Row],[Cost Per Unit]]*Data[[#This Row],[Units]]</f>
        <v>3077.1</v>
      </c>
      <c r="AA26" t="s">
        <v>26</v>
      </c>
      <c r="AB26" s="11">
        <v>5.6</v>
      </c>
    </row>
    <row r="27" spans="3:28" x14ac:dyDescent="0.3">
      <c r="C27" t="s">
        <v>3</v>
      </c>
      <c r="D27" t="s">
        <v>35</v>
      </c>
      <c r="E27" t="s">
        <v>29</v>
      </c>
      <c r="F27" s="4">
        <v>2114</v>
      </c>
      <c r="G27" s="5">
        <v>66</v>
      </c>
      <c r="H27" s="12">
        <f>_xlfn.XLOOKUP(Data[[#This Row],[Product]],products[Product],products[Cost per unit])</f>
        <v>7.16</v>
      </c>
      <c r="I27" s="32">
        <f>Data[[#This Row],[Cost Per Unit]]*Data[[#This Row],[Units]]</f>
        <v>472.56</v>
      </c>
      <c r="AA27" t="s">
        <v>27</v>
      </c>
      <c r="AB27" s="11">
        <v>16.73</v>
      </c>
    </row>
    <row r="28" spans="3:28" x14ac:dyDescent="0.3">
      <c r="C28" t="s">
        <v>6</v>
      </c>
      <c r="D28" t="s">
        <v>37</v>
      </c>
      <c r="E28" t="s">
        <v>31</v>
      </c>
      <c r="F28" s="4">
        <v>7693</v>
      </c>
      <c r="G28" s="5">
        <v>87</v>
      </c>
      <c r="H28" s="12">
        <f>_xlfn.XLOOKUP(Data[[#This Row],[Product]],products[Product],products[Cost per unit])</f>
        <v>5.79</v>
      </c>
      <c r="I28" s="32">
        <f>Data[[#This Row],[Cost Per Unit]]*Data[[#This Row],[Units]]</f>
        <v>503.73</v>
      </c>
      <c r="AA28" t="s">
        <v>28</v>
      </c>
      <c r="AB28" s="11">
        <v>10.38</v>
      </c>
    </row>
    <row r="29" spans="3:28" x14ac:dyDescent="0.3">
      <c r="C29" t="s">
        <v>5</v>
      </c>
      <c r="D29" t="s">
        <v>34</v>
      </c>
      <c r="E29" t="s">
        <v>20</v>
      </c>
      <c r="F29" s="4">
        <v>15610</v>
      </c>
      <c r="G29" s="5">
        <v>339</v>
      </c>
      <c r="H29" s="12">
        <f>_xlfn.XLOOKUP(Data[[#This Row],[Product]],products[Product],products[Cost per unit])</f>
        <v>10.62</v>
      </c>
      <c r="I29" s="32">
        <f>Data[[#This Row],[Cost Per Unit]]*Data[[#This Row],[Units]]</f>
        <v>3600.18</v>
      </c>
      <c r="AA29" t="s">
        <v>29</v>
      </c>
      <c r="AB29" s="11">
        <v>7.16</v>
      </c>
    </row>
    <row r="30" spans="3:28" x14ac:dyDescent="0.3">
      <c r="C30" t="s">
        <v>41</v>
      </c>
      <c r="D30" t="s">
        <v>34</v>
      </c>
      <c r="E30" t="s">
        <v>22</v>
      </c>
      <c r="F30" s="4">
        <v>336</v>
      </c>
      <c r="G30" s="5">
        <v>144</v>
      </c>
      <c r="H30" s="12">
        <f>_xlfn.XLOOKUP(Data[[#This Row],[Product]],products[Product],products[Cost per unit])</f>
        <v>9.77</v>
      </c>
      <c r="I30" s="32">
        <f>Data[[#This Row],[Cost Per Unit]]*Data[[#This Row],[Units]]</f>
        <v>1406.8799999999999</v>
      </c>
      <c r="AA30" t="s">
        <v>30</v>
      </c>
      <c r="AB30" s="11">
        <v>14.49</v>
      </c>
    </row>
    <row r="31" spans="3:28" x14ac:dyDescent="0.3">
      <c r="C31" t="s">
        <v>2</v>
      </c>
      <c r="D31" t="s">
        <v>39</v>
      </c>
      <c r="E31" t="s">
        <v>20</v>
      </c>
      <c r="F31" s="4">
        <v>9443</v>
      </c>
      <c r="G31" s="5">
        <v>162</v>
      </c>
      <c r="H31" s="12">
        <f>_xlfn.XLOOKUP(Data[[#This Row],[Product]],products[Product],products[Cost per unit])</f>
        <v>10.62</v>
      </c>
      <c r="I31" s="32">
        <f>Data[[#This Row],[Cost Per Unit]]*Data[[#This Row],[Units]]</f>
        <v>1720.4399999999998</v>
      </c>
      <c r="AA31" t="s">
        <v>31</v>
      </c>
      <c r="AB31" s="11">
        <v>5.79</v>
      </c>
    </row>
    <row r="32" spans="3:28" x14ac:dyDescent="0.3">
      <c r="C32" t="s">
        <v>9</v>
      </c>
      <c r="D32" t="s">
        <v>34</v>
      </c>
      <c r="E32" t="s">
        <v>23</v>
      </c>
      <c r="F32" s="4">
        <v>8155</v>
      </c>
      <c r="G32" s="5">
        <v>90</v>
      </c>
      <c r="H32" s="12">
        <f>_xlfn.XLOOKUP(Data[[#This Row],[Product]],products[Product],products[Cost per unit])</f>
        <v>6.49</v>
      </c>
      <c r="I32" s="32">
        <f>Data[[#This Row],[Cost Per Unit]]*Data[[#This Row],[Units]]</f>
        <v>584.1</v>
      </c>
      <c r="AA32" t="s">
        <v>32</v>
      </c>
      <c r="AB32" s="11">
        <v>8.65</v>
      </c>
    </row>
    <row r="33" spans="3:28" x14ac:dyDescent="0.3">
      <c r="C33" t="s">
        <v>8</v>
      </c>
      <c r="D33" t="s">
        <v>38</v>
      </c>
      <c r="E33" t="s">
        <v>23</v>
      </c>
      <c r="F33" s="4">
        <v>1701</v>
      </c>
      <c r="G33" s="5">
        <v>234</v>
      </c>
      <c r="H33" s="12">
        <f>_xlfn.XLOOKUP(Data[[#This Row],[Product]],products[Product],products[Cost per unit])</f>
        <v>6.49</v>
      </c>
      <c r="I33" s="32">
        <f>Data[[#This Row],[Cost Per Unit]]*Data[[#This Row],[Units]]</f>
        <v>1518.66</v>
      </c>
      <c r="AA33" t="s">
        <v>33</v>
      </c>
      <c r="AB33" s="11">
        <v>12.37</v>
      </c>
    </row>
    <row r="34" spans="3:28" x14ac:dyDescent="0.3">
      <c r="C34" t="s">
        <v>10</v>
      </c>
      <c r="D34" t="s">
        <v>38</v>
      </c>
      <c r="E34" t="s">
        <v>22</v>
      </c>
      <c r="F34" s="4">
        <v>2205</v>
      </c>
      <c r="G34" s="5">
        <v>141</v>
      </c>
      <c r="H34" s="12">
        <f>_xlfn.XLOOKUP(Data[[#This Row],[Product]],products[Product],products[Cost per unit])</f>
        <v>9.77</v>
      </c>
      <c r="I34" s="32">
        <f>Data[[#This Row],[Cost Per Unit]]*Data[[#This Row],[Units]]</f>
        <v>1377.57</v>
      </c>
    </row>
    <row r="35" spans="3:28" x14ac:dyDescent="0.3">
      <c r="C35" t="s">
        <v>8</v>
      </c>
      <c r="D35" t="s">
        <v>37</v>
      </c>
      <c r="E35" t="s">
        <v>19</v>
      </c>
      <c r="F35" s="4">
        <v>1771</v>
      </c>
      <c r="G35" s="5">
        <v>204</v>
      </c>
      <c r="H35" s="12">
        <f>_xlfn.XLOOKUP(Data[[#This Row],[Product]],products[Product],products[Cost per unit])</f>
        <v>7.64</v>
      </c>
      <c r="I35" s="32">
        <f>Data[[#This Row],[Cost Per Unit]]*Data[[#This Row],[Units]]</f>
        <v>1558.56</v>
      </c>
    </row>
    <row r="36" spans="3:28" x14ac:dyDescent="0.3">
      <c r="C36" t="s">
        <v>41</v>
      </c>
      <c r="D36" t="s">
        <v>35</v>
      </c>
      <c r="E36" t="s">
        <v>15</v>
      </c>
      <c r="F36" s="4">
        <v>2114</v>
      </c>
      <c r="G36" s="5">
        <v>186</v>
      </c>
      <c r="H36" s="12">
        <f>_xlfn.XLOOKUP(Data[[#This Row],[Product]],products[Product],products[Cost per unit])</f>
        <v>11.73</v>
      </c>
      <c r="I36" s="32">
        <f>Data[[#This Row],[Cost Per Unit]]*Data[[#This Row],[Units]]</f>
        <v>2181.7800000000002</v>
      </c>
    </row>
    <row r="37" spans="3:28" x14ac:dyDescent="0.3">
      <c r="C37" t="s">
        <v>41</v>
      </c>
      <c r="D37" t="s">
        <v>36</v>
      </c>
      <c r="E37" t="s">
        <v>13</v>
      </c>
      <c r="F37" s="4">
        <v>10311</v>
      </c>
      <c r="G37" s="5">
        <v>231</v>
      </c>
      <c r="H37" s="12">
        <f>_xlfn.XLOOKUP(Data[[#This Row],[Product]],products[Product],products[Cost per unit])</f>
        <v>9.33</v>
      </c>
      <c r="I37" s="32">
        <f>Data[[#This Row],[Cost Per Unit]]*Data[[#This Row],[Units]]</f>
        <v>2155.23</v>
      </c>
    </row>
    <row r="38" spans="3:28" x14ac:dyDescent="0.3">
      <c r="C38" t="s">
        <v>3</v>
      </c>
      <c r="D38" t="s">
        <v>39</v>
      </c>
      <c r="E38" t="s">
        <v>16</v>
      </c>
      <c r="F38" s="4">
        <v>21</v>
      </c>
      <c r="G38" s="5">
        <v>168</v>
      </c>
      <c r="H38" s="12">
        <f>_xlfn.XLOOKUP(Data[[#This Row],[Product]],products[Product],products[Cost per unit])</f>
        <v>8.7899999999999991</v>
      </c>
      <c r="I38" s="32">
        <f>Data[[#This Row],[Cost Per Unit]]*Data[[#This Row],[Units]]</f>
        <v>1476.7199999999998</v>
      </c>
    </row>
    <row r="39" spans="3:28" x14ac:dyDescent="0.3">
      <c r="C39" t="s">
        <v>10</v>
      </c>
      <c r="D39" t="s">
        <v>35</v>
      </c>
      <c r="E39" t="s">
        <v>20</v>
      </c>
      <c r="F39" s="4">
        <v>1974</v>
      </c>
      <c r="G39" s="5">
        <v>195</v>
      </c>
      <c r="H39" s="12">
        <f>_xlfn.XLOOKUP(Data[[#This Row],[Product]],products[Product],products[Cost per unit])</f>
        <v>10.62</v>
      </c>
      <c r="I39" s="32">
        <f>Data[[#This Row],[Cost Per Unit]]*Data[[#This Row],[Units]]</f>
        <v>2070.8999999999996</v>
      </c>
    </row>
    <row r="40" spans="3:28" x14ac:dyDescent="0.3">
      <c r="C40" t="s">
        <v>5</v>
      </c>
      <c r="D40" t="s">
        <v>36</v>
      </c>
      <c r="E40" t="s">
        <v>23</v>
      </c>
      <c r="F40" s="4">
        <v>6314</v>
      </c>
      <c r="G40" s="5">
        <v>15</v>
      </c>
      <c r="H40" s="12">
        <f>_xlfn.XLOOKUP(Data[[#This Row],[Product]],products[Product],products[Cost per unit])</f>
        <v>6.49</v>
      </c>
      <c r="I40" s="32">
        <f>Data[[#This Row],[Cost Per Unit]]*Data[[#This Row],[Units]]</f>
        <v>97.350000000000009</v>
      </c>
    </row>
    <row r="41" spans="3:28" x14ac:dyDescent="0.3">
      <c r="C41" t="s">
        <v>10</v>
      </c>
      <c r="D41" t="s">
        <v>37</v>
      </c>
      <c r="E41" t="s">
        <v>23</v>
      </c>
      <c r="F41" s="4">
        <v>4683</v>
      </c>
      <c r="G41" s="5">
        <v>30</v>
      </c>
      <c r="H41" s="12">
        <f>_xlfn.XLOOKUP(Data[[#This Row],[Product]],products[Product],products[Cost per unit])</f>
        <v>6.49</v>
      </c>
      <c r="I41" s="32">
        <f>Data[[#This Row],[Cost Per Unit]]*Data[[#This Row],[Units]]</f>
        <v>194.70000000000002</v>
      </c>
    </row>
    <row r="42" spans="3:28" x14ac:dyDescent="0.3">
      <c r="C42" t="s">
        <v>41</v>
      </c>
      <c r="D42" t="s">
        <v>37</v>
      </c>
      <c r="E42" t="s">
        <v>24</v>
      </c>
      <c r="F42" s="4">
        <v>6398</v>
      </c>
      <c r="G42" s="5">
        <v>102</v>
      </c>
      <c r="H42" s="12">
        <f>_xlfn.XLOOKUP(Data[[#This Row],[Product]],products[Product],products[Cost per unit])</f>
        <v>4.97</v>
      </c>
      <c r="I42" s="32">
        <f>Data[[#This Row],[Cost Per Unit]]*Data[[#This Row],[Units]]</f>
        <v>506.94</v>
      </c>
    </row>
    <row r="43" spans="3:28" x14ac:dyDescent="0.3">
      <c r="C43" t="s">
        <v>2</v>
      </c>
      <c r="D43" t="s">
        <v>35</v>
      </c>
      <c r="E43" t="s">
        <v>19</v>
      </c>
      <c r="F43" s="4">
        <v>553</v>
      </c>
      <c r="G43" s="5">
        <v>15</v>
      </c>
      <c r="H43" s="12">
        <f>_xlfn.XLOOKUP(Data[[#This Row],[Product]],products[Product],products[Cost per unit])</f>
        <v>7.64</v>
      </c>
      <c r="I43" s="32">
        <f>Data[[#This Row],[Cost Per Unit]]*Data[[#This Row],[Units]]</f>
        <v>114.6</v>
      </c>
    </row>
    <row r="44" spans="3:28" x14ac:dyDescent="0.3">
      <c r="C44" t="s">
        <v>8</v>
      </c>
      <c r="D44" t="s">
        <v>39</v>
      </c>
      <c r="E44" t="s">
        <v>30</v>
      </c>
      <c r="F44" s="4">
        <v>7021</v>
      </c>
      <c r="G44" s="5">
        <v>183</v>
      </c>
      <c r="H44" s="12">
        <f>_xlfn.XLOOKUP(Data[[#This Row],[Product]],products[Product],products[Cost per unit])</f>
        <v>14.49</v>
      </c>
      <c r="I44" s="32">
        <f>Data[[#This Row],[Cost Per Unit]]*Data[[#This Row],[Units]]</f>
        <v>2651.67</v>
      </c>
    </row>
    <row r="45" spans="3:28" x14ac:dyDescent="0.3">
      <c r="C45" t="s">
        <v>40</v>
      </c>
      <c r="D45" t="s">
        <v>39</v>
      </c>
      <c r="E45" t="s">
        <v>22</v>
      </c>
      <c r="F45" s="4">
        <v>5817</v>
      </c>
      <c r="G45" s="5">
        <v>12</v>
      </c>
      <c r="H45" s="12">
        <f>_xlfn.XLOOKUP(Data[[#This Row],[Product]],products[Product],products[Cost per unit])</f>
        <v>9.77</v>
      </c>
      <c r="I45" s="32">
        <f>Data[[#This Row],[Cost Per Unit]]*Data[[#This Row],[Units]]</f>
        <v>117.24</v>
      </c>
    </row>
    <row r="46" spans="3:28" x14ac:dyDescent="0.3">
      <c r="C46" t="s">
        <v>41</v>
      </c>
      <c r="D46" t="s">
        <v>39</v>
      </c>
      <c r="E46" t="s">
        <v>14</v>
      </c>
      <c r="F46" s="4">
        <v>3976</v>
      </c>
      <c r="G46" s="5">
        <v>72</v>
      </c>
      <c r="H46" s="12">
        <f>_xlfn.XLOOKUP(Data[[#This Row],[Product]],products[Product],products[Cost per unit])</f>
        <v>11.7</v>
      </c>
      <c r="I46" s="32">
        <f>Data[[#This Row],[Cost Per Unit]]*Data[[#This Row],[Units]]</f>
        <v>842.4</v>
      </c>
    </row>
    <row r="47" spans="3:28" x14ac:dyDescent="0.3">
      <c r="C47" t="s">
        <v>6</v>
      </c>
      <c r="D47" t="s">
        <v>38</v>
      </c>
      <c r="E47" t="s">
        <v>27</v>
      </c>
      <c r="F47" s="4">
        <v>1134</v>
      </c>
      <c r="G47" s="5">
        <v>282</v>
      </c>
      <c r="H47" s="12">
        <f>_xlfn.XLOOKUP(Data[[#This Row],[Product]],products[Product],products[Cost per unit])</f>
        <v>16.73</v>
      </c>
      <c r="I47" s="32">
        <f>Data[[#This Row],[Cost Per Unit]]*Data[[#This Row],[Units]]</f>
        <v>4717.8599999999997</v>
      </c>
    </row>
    <row r="48" spans="3:28" x14ac:dyDescent="0.3">
      <c r="C48" t="s">
        <v>2</v>
      </c>
      <c r="D48" t="s">
        <v>39</v>
      </c>
      <c r="E48" t="s">
        <v>28</v>
      </c>
      <c r="F48" s="4">
        <v>6027</v>
      </c>
      <c r="G48" s="5">
        <v>144</v>
      </c>
      <c r="H48" s="12">
        <f>_xlfn.XLOOKUP(Data[[#This Row],[Product]],products[Product],products[Cost per unit])</f>
        <v>10.38</v>
      </c>
      <c r="I48" s="32">
        <f>Data[[#This Row],[Cost Per Unit]]*Data[[#This Row],[Units]]</f>
        <v>1494.72</v>
      </c>
    </row>
    <row r="49" spans="3:9" x14ac:dyDescent="0.3">
      <c r="C49" t="s">
        <v>6</v>
      </c>
      <c r="D49" t="s">
        <v>37</v>
      </c>
      <c r="E49" t="s">
        <v>16</v>
      </c>
      <c r="F49" s="4">
        <v>1904</v>
      </c>
      <c r="G49" s="5">
        <v>405</v>
      </c>
      <c r="H49" s="12">
        <f>_xlfn.XLOOKUP(Data[[#This Row],[Product]],products[Product],products[Cost per unit])</f>
        <v>8.7899999999999991</v>
      </c>
      <c r="I49" s="32">
        <f>Data[[#This Row],[Cost Per Unit]]*Data[[#This Row],[Units]]</f>
        <v>3559.95</v>
      </c>
    </row>
    <row r="50" spans="3:9" x14ac:dyDescent="0.3">
      <c r="C50" t="s">
        <v>7</v>
      </c>
      <c r="D50" t="s">
        <v>34</v>
      </c>
      <c r="E50" t="s">
        <v>32</v>
      </c>
      <c r="F50" s="4">
        <v>3262</v>
      </c>
      <c r="G50" s="5">
        <v>75</v>
      </c>
      <c r="H50" s="12">
        <f>_xlfn.XLOOKUP(Data[[#This Row],[Product]],products[Product],products[Cost per unit])</f>
        <v>8.65</v>
      </c>
      <c r="I50" s="32">
        <f>Data[[#This Row],[Cost Per Unit]]*Data[[#This Row],[Units]]</f>
        <v>648.75</v>
      </c>
    </row>
    <row r="51" spans="3:9" x14ac:dyDescent="0.3">
      <c r="C51" t="s">
        <v>40</v>
      </c>
      <c r="D51" t="s">
        <v>34</v>
      </c>
      <c r="E51" t="s">
        <v>27</v>
      </c>
      <c r="F51" s="4">
        <v>2289</v>
      </c>
      <c r="G51" s="5">
        <v>135</v>
      </c>
      <c r="H51" s="12">
        <f>_xlfn.XLOOKUP(Data[[#This Row],[Product]],products[Product],products[Cost per unit])</f>
        <v>16.73</v>
      </c>
      <c r="I51" s="32">
        <f>Data[[#This Row],[Cost Per Unit]]*Data[[#This Row],[Units]]</f>
        <v>2258.5500000000002</v>
      </c>
    </row>
    <row r="52" spans="3:9" x14ac:dyDescent="0.3">
      <c r="C52" t="s">
        <v>5</v>
      </c>
      <c r="D52" t="s">
        <v>34</v>
      </c>
      <c r="E52" t="s">
        <v>27</v>
      </c>
      <c r="F52" s="4">
        <v>6986</v>
      </c>
      <c r="G52" s="5">
        <v>21</v>
      </c>
      <c r="H52" s="12">
        <f>_xlfn.XLOOKUP(Data[[#This Row],[Product]],products[Product],products[Cost per unit])</f>
        <v>16.73</v>
      </c>
      <c r="I52" s="32">
        <f>Data[[#This Row],[Cost Per Unit]]*Data[[#This Row],[Units]]</f>
        <v>351.33</v>
      </c>
    </row>
    <row r="53" spans="3:9" x14ac:dyDescent="0.3">
      <c r="C53" t="s">
        <v>2</v>
      </c>
      <c r="D53" t="s">
        <v>38</v>
      </c>
      <c r="E53" t="s">
        <v>23</v>
      </c>
      <c r="F53" s="4">
        <v>4417</v>
      </c>
      <c r="G53" s="5">
        <v>153</v>
      </c>
      <c r="H53" s="12">
        <f>_xlfn.XLOOKUP(Data[[#This Row],[Product]],products[Product],products[Cost per unit])</f>
        <v>6.49</v>
      </c>
      <c r="I53" s="32">
        <f>Data[[#This Row],[Cost Per Unit]]*Data[[#This Row],[Units]]</f>
        <v>992.97</v>
      </c>
    </row>
    <row r="54" spans="3:9" x14ac:dyDescent="0.3">
      <c r="C54" t="s">
        <v>6</v>
      </c>
      <c r="D54" t="s">
        <v>34</v>
      </c>
      <c r="E54" t="s">
        <v>15</v>
      </c>
      <c r="F54" s="4">
        <v>1442</v>
      </c>
      <c r="G54" s="5">
        <v>15</v>
      </c>
      <c r="H54" s="12">
        <f>_xlfn.XLOOKUP(Data[[#This Row],[Product]],products[Product],products[Cost per unit])</f>
        <v>11.73</v>
      </c>
      <c r="I54" s="32">
        <f>Data[[#This Row],[Cost Per Unit]]*Data[[#This Row],[Units]]</f>
        <v>175.95000000000002</v>
      </c>
    </row>
    <row r="55" spans="3:9" x14ac:dyDescent="0.3">
      <c r="C55" t="s">
        <v>3</v>
      </c>
      <c r="D55" t="s">
        <v>35</v>
      </c>
      <c r="E55" t="s">
        <v>14</v>
      </c>
      <c r="F55" s="4">
        <v>2415</v>
      </c>
      <c r="G55" s="5">
        <v>255</v>
      </c>
      <c r="H55" s="12">
        <f>_xlfn.XLOOKUP(Data[[#This Row],[Product]],products[Product],products[Cost per unit])</f>
        <v>11.7</v>
      </c>
      <c r="I55" s="32">
        <f>Data[[#This Row],[Cost Per Unit]]*Data[[#This Row],[Units]]</f>
        <v>2983.5</v>
      </c>
    </row>
    <row r="56" spans="3:9" x14ac:dyDescent="0.3">
      <c r="C56" t="s">
        <v>2</v>
      </c>
      <c r="D56" t="s">
        <v>37</v>
      </c>
      <c r="E56" t="s">
        <v>19</v>
      </c>
      <c r="F56" s="4">
        <v>238</v>
      </c>
      <c r="G56" s="5">
        <v>18</v>
      </c>
      <c r="H56" s="12">
        <f>_xlfn.XLOOKUP(Data[[#This Row],[Product]],products[Product],products[Cost per unit])</f>
        <v>7.64</v>
      </c>
      <c r="I56" s="32">
        <f>Data[[#This Row],[Cost Per Unit]]*Data[[#This Row],[Units]]</f>
        <v>137.51999999999998</v>
      </c>
    </row>
    <row r="57" spans="3:9" x14ac:dyDescent="0.3">
      <c r="C57" t="s">
        <v>6</v>
      </c>
      <c r="D57" t="s">
        <v>37</v>
      </c>
      <c r="E57" t="s">
        <v>23</v>
      </c>
      <c r="F57" s="4">
        <v>4949</v>
      </c>
      <c r="G57" s="5">
        <v>189</v>
      </c>
      <c r="H57" s="12">
        <f>_xlfn.XLOOKUP(Data[[#This Row],[Product]],products[Product],products[Cost per unit])</f>
        <v>6.49</v>
      </c>
      <c r="I57" s="32">
        <f>Data[[#This Row],[Cost Per Unit]]*Data[[#This Row],[Units]]</f>
        <v>1226.6100000000001</v>
      </c>
    </row>
    <row r="58" spans="3:9" x14ac:dyDescent="0.3">
      <c r="C58" t="s">
        <v>5</v>
      </c>
      <c r="D58" t="s">
        <v>38</v>
      </c>
      <c r="E58" t="s">
        <v>32</v>
      </c>
      <c r="F58" s="4">
        <v>5075</v>
      </c>
      <c r="G58" s="5">
        <v>21</v>
      </c>
      <c r="H58" s="12">
        <f>_xlfn.XLOOKUP(Data[[#This Row],[Product]],products[Product],products[Cost per unit])</f>
        <v>8.65</v>
      </c>
      <c r="I58" s="32">
        <f>Data[[#This Row],[Cost Per Unit]]*Data[[#This Row],[Units]]</f>
        <v>181.65</v>
      </c>
    </row>
    <row r="59" spans="3:9" x14ac:dyDescent="0.3">
      <c r="C59" t="s">
        <v>3</v>
      </c>
      <c r="D59" t="s">
        <v>36</v>
      </c>
      <c r="E59" t="s">
        <v>16</v>
      </c>
      <c r="F59" s="4">
        <v>9198</v>
      </c>
      <c r="G59" s="5">
        <v>36</v>
      </c>
      <c r="H59" s="12">
        <f>_xlfn.XLOOKUP(Data[[#This Row],[Product]],products[Product],products[Cost per unit])</f>
        <v>8.7899999999999991</v>
      </c>
      <c r="I59" s="32">
        <f>Data[[#This Row],[Cost Per Unit]]*Data[[#This Row],[Units]]</f>
        <v>316.43999999999994</v>
      </c>
    </row>
    <row r="60" spans="3:9" x14ac:dyDescent="0.3">
      <c r="C60" t="s">
        <v>6</v>
      </c>
      <c r="D60" t="s">
        <v>34</v>
      </c>
      <c r="E60" t="s">
        <v>29</v>
      </c>
      <c r="F60" s="4">
        <v>3339</v>
      </c>
      <c r="G60" s="5">
        <v>75</v>
      </c>
      <c r="H60" s="12">
        <f>_xlfn.XLOOKUP(Data[[#This Row],[Product]],products[Product],products[Cost per unit])</f>
        <v>7.16</v>
      </c>
      <c r="I60" s="32">
        <f>Data[[#This Row],[Cost Per Unit]]*Data[[#This Row],[Units]]</f>
        <v>537</v>
      </c>
    </row>
    <row r="61" spans="3:9" x14ac:dyDescent="0.3">
      <c r="C61" t="s">
        <v>40</v>
      </c>
      <c r="D61" t="s">
        <v>34</v>
      </c>
      <c r="E61" t="s">
        <v>17</v>
      </c>
      <c r="F61" s="4">
        <v>5019</v>
      </c>
      <c r="G61" s="5">
        <v>156</v>
      </c>
      <c r="H61" s="12">
        <f>_xlfn.XLOOKUP(Data[[#This Row],[Product]],products[Product],products[Cost per unit])</f>
        <v>3.11</v>
      </c>
      <c r="I61" s="32">
        <f>Data[[#This Row],[Cost Per Unit]]*Data[[#This Row],[Units]]</f>
        <v>485.15999999999997</v>
      </c>
    </row>
    <row r="62" spans="3:9" x14ac:dyDescent="0.3">
      <c r="C62" t="s">
        <v>5</v>
      </c>
      <c r="D62" t="s">
        <v>36</v>
      </c>
      <c r="E62" t="s">
        <v>16</v>
      </c>
      <c r="F62" s="4">
        <v>16184</v>
      </c>
      <c r="G62" s="5">
        <v>39</v>
      </c>
      <c r="H62" s="12">
        <f>_xlfn.XLOOKUP(Data[[#This Row],[Product]],products[Product],products[Cost per unit])</f>
        <v>8.7899999999999991</v>
      </c>
      <c r="I62" s="32">
        <f>Data[[#This Row],[Cost Per Unit]]*Data[[#This Row],[Units]]</f>
        <v>342.80999999999995</v>
      </c>
    </row>
    <row r="63" spans="3:9" x14ac:dyDescent="0.3">
      <c r="C63" t="s">
        <v>6</v>
      </c>
      <c r="D63" t="s">
        <v>36</v>
      </c>
      <c r="E63" t="s">
        <v>21</v>
      </c>
      <c r="F63" s="4">
        <v>497</v>
      </c>
      <c r="G63" s="5">
        <v>63</v>
      </c>
      <c r="H63" s="12">
        <f>_xlfn.XLOOKUP(Data[[#This Row],[Product]],products[Product],products[Cost per unit])</f>
        <v>9</v>
      </c>
      <c r="I63" s="32">
        <f>Data[[#This Row],[Cost Per Unit]]*Data[[#This Row],[Units]]</f>
        <v>567</v>
      </c>
    </row>
    <row r="64" spans="3:9" x14ac:dyDescent="0.3">
      <c r="C64" t="s">
        <v>2</v>
      </c>
      <c r="D64" t="s">
        <v>36</v>
      </c>
      <c r="E64" t="s">
        <v>29</v>
      </c>
      <c r="F64" s="4">
        <v>8211</v>
      </c>
      <c r="G64" s="5">
        <v>75</v>
      </c>
      <c r="H64" s="12">
        <f>_xlfn.XLOOKUP(Data[[#This Row],[Product]],products[Product],products[Cost per unit])</f>
        <v>7.16</v>
      </c>
      <c r="I64" s="32">
        <f>Data[[#This Row],[Cost Per Unit]]*Data[[#This Row],[Units]]</f>
        <v>537</v>
      </c>
    </row>
    <row r="65" spans="3:9" x14ac:dyDescent="0.3">
      <c r="C65" t="s">
        <v>2</v>
      </c>
      <c r="D65" t="s">
        <v>38</v>
      </c>
      <c r="E65" t="s">
        <v>28</v>
      </c>
      <c r="F65" s="4">
        <v>6580</v>
      </c>
      <c r="G65" s="5">
        <v>183</v>
      </c>
      <c r="H65" s="12">
        <f>_xlfn.XLOOKUP(Data[[#This Row],[Product]],products[Product],products[Cost per unit])</f>
        <v>10.38</v>
      </c>
      <c r="I65" s="32">
        <f>Data[[#This Row],[Cost Per Unit]]*Data[[#This Row],[Units]]</f>
        <v>1899.5400000000002</v>
      </c>
    </row>
    <row r="66" spans="3:9" x14ac:dyDescent="0.3">
      <c r="C66" t="s">
        <v>41</v>
      </c>
      <c r="D66" t="s">
        <v>35</v>
      </c>
      <c r="E66" t="s">
        <v>13</v>
      </c>
      <c r="F66" s="4">
        <v>4760</v>
      </c>
      <c r="G66" s="5">
        <v>69</v>
      </c>
      <c r="H66" s="12">
        <f>_xlfn.XLOOKUP(Data[[#This Row],[Product]],products[Product],products[Cost per unit])</f>
        <v>9.33</v>
      </c>
      <c r="I66" s="32">
        <f>Data[[#This Row],[Cost Per Unit]]*Data[[#This Row],[Units]]</f>
        <v>643.77</v>
      </c>
    </row>
    <row r="67" spans="3:9" x14ac:dyDescent="0.3">
      <c r="C67" t="s">
        <v>40</v>
      </c>
      <c r="D67" t="s">
        <v>36</v>
      </c>
      <c r="E67" t="s">
        <v>25</v>
      </c>
      <c r="F67" s="4">
        <v>5439</v>
      </c>
      <c r="G67" s="5">
        <v>30</v>
      </c>
      <c r="H67" s="12">
        <f>_xlfn.XLOOKUP(Data[[#This Row],[Product]],products[Product],products[Cost per unit])</f>
        <v>13.15</v>
      </c>
      <c r="I67" s="32">
        <f>Data[[#This Row],[Cost Per Unit]]*Data[[#This Row],[Units]]</f>
        <v>394.5</v>
      </c>
    </row>
    <row r="68" spans="3:9" x14ac:dyDescent="0.3">
      <c r="C68" t="s">
        <v>41</v>
      </c>
      <c r="D68" t="s">
        <v>34</v>
      </c>
      <c r="E68" t="s">
        <v>17</v>
      </c>
      <c r="F68" s="4">
        <v>1463</v>
      </c>
      <c r="G68" s="5">
        <v>39</v>
      </c>
      <c r="H68" s="12">
        <f>_xlfn.XLOOKUP(Data[[#This Row],[Product]],products[Product],products[Cost per unit])</f>
        <v>3.11</v>
      </c>
      <c r="I68" s="32">
        <f>Data[[#This Row],[Cost Per Unit]]*Data[[#This Row],[Units]]</f>
        <v>121.28999999999999</v>
      </c>
    </row>
    <row r="69" spans="3:9" x14ac:dyDescent="0.3">
      <c r="C69" t="s">
        <v>3</v>
      </c>
      <c r="D69" t="s">
        <v>34</v>
      </c>
      <c r="E69" t="s">
        <v>32</v>
      </c>
      <c r="F69" s="4">
        <v>7777</v>
      </c>
      <c r="G69" s="5">
        <v>504</v>
      </c>
      <c r="H69" s="12">
        <f>_xlfn.XLOOKUP(Data[[#This Row],[Product]],products[Product],products[Cost per unit])</f>
        <v>8.65</v>
      </c>
      <c r="I69" s="32">
        <f>Data[[#This Row],[Cost Per Unit]]*Data[[#This Row],[Units]]</f>
        <v>4359.6000000000004</v>
      </c>
    </row>
    <row r="70" spans="3:9" x14ac:dyDescent="0.3">
      <c r="C70" t="s">
        <v>9</v>
      </c>
      <c r="D70" t="s">
        <v>37</v>
      </c>
      <c r="E70" t="s">
        <v>29</v>
      </c>
      <c r="F70" s="4">
        <v>1085</v>
      </c>
      <c r="G70" s="5">
        <v>273</v>
      </c>
      <c r="H70" s="12">
        <f>_xlfn.XLOOKUP(Data[[#This Row],[Product]],products[Product],products[Cost per unit])</f>
        <v>7.16</v>
      </c>
      <c r="I70" s="32">
        <f>Data[[#This Row],[Cost Per Unit]]*Data[[#This Row],[Units]]</f>
        <v>1954.68</v>
      </c>
    </row>
    <row r="71" spans="3:9" x14ac:dyDescent="0.3">
      <c r="C71" t="s">
        <v>5</v>
      </c>
      <c r="D71" t="s">
        <v>37</v>
      </c>
      <c r="E71" t="s">
        <v>31</v>
      </c>
      <c r="F71" s="4">
        <v>182</v>
      </c>
      <c r="G71" s="5">
        <v>48</v>
      </c>
      <c r="H71" s="12">
        <f>_xlfn.XLOOKUP(Data[[#This Row],[Product]],products[Product],products[Cost per unit])</f>
        <v>5.79</v>
      </c>
      <c r="I71" s="32">
        <f>Data[[#This Row],[Cost Per Unit]]*Data[[#This Row],[Units]]</f>
        <v>277.92</v>
      </c>
    </row>
    <row r="72" spans="3:9" x14ac:dyDescent="0.3">
      <c r="C72" t="s">
        <v>6</v>
      </c>
      <c r="D72" t="s">
        <v>34</v>
      </c>
      <c r="E72" t="s">
        <v>27</v>
      </c>
      <c r="F72" s="4">
        <v>4242</v>
      </c>
      <c r="G72" s="5">
        <v>207</v>
      </c>
      <c r="H72" s="12">
        <f>_xlfn.XLOOKUP(Data[[#This Row],[Product]],products[Product],products[Cost per unit])</f>
        <v>16.73</v>
      </c>
      <c r="I72" s="32">
        <f>Data[[#This Row],[Cost Per Unit]]*Data[[#This Row],[Units]]</f>
        <v>3463.11</v>
      </c>
    </row>
    <row r="73" spans="3:9" x14ac:dyDescent="0.3">
      <c r="C73" t="s">
        <v>6</v>
      </c>
      <c r="D73" t="s">
        <v>36</v>
      </c>
      <c r="E73" t="s">
        <v>32</v>
      </c>
      <c r="F73" s="4">
        <v>6118</v>
      </c>
      <c r="G73" s="5">
        <v>9</v>
      </c>
      <c r="H73" s="12">
        <f>_xlfn.XLOOKUP(Data[[#This Row],[Product]],products[Product],products[Cost per unit])</f>
        <v>8.65</v>
      </c>
      <c r="I73" s="32">
        <f>Data[[#This Row],[Cost Per Unit]]*Data[[#This Row],[Units]]</f>
        <v>77.850000000000009</v>
      </c>
    </row>
    <row r="74" spans="3:9" x14ac:dyDescent="0.3">
      <c r="C74" t="s">
        <v>10</v>
      </c>
      <c r="D74" t="s">
        <v>36</v>
      </c>
      <c r="E74" t="s">
        <v>23</v>
      </c>
      <c r="F74" s="4">
        <v>2317</v>
      </c>
      <c r="G74" s="5">
        <v>261</v>
      </c>
      <c r="H74" s="12">
        <f>_xlfn.XLOOKUP(Data[[#This Row],[Product]],products[Product],products[Cost per unit])</f>
        <v>6.49</v>
      </c>
      <c r="I74" s="32">
        <f>Data[[#This Row],[Cost Per Unit]]*Data[[#This Row],[Units]]</f>
        <v>1693.89</v>
      </c>
    </row>
    <row r="75" spans="3:9" x14ac:dyDescent="0.3">
      <c r="C75" t="s">
        <v>6</v>
      </c>
      <c r="D75" t="s">
        <v>38</v>
      </c>
      <c r="E75" t="s">
        <v>16</v>
      </c>
      <c r="F75" s="4">
        <v>938</v>
      </c>
      <c r="G75" s="5">
        <v>6</v>
      </c>
      <c r="H75" s="12">
        <f>_xlfn.XLOOKUP(Data[[#This Row],[Product]],products[Product],products[Cost per unit])</f>
        <v>8.7899999999999991</v>
      </c>
      <c r="I75" s="32">
        <f>Data[[#This Row],[Cost Per Unit]]*Data[[#This Row],[Units]]</f>
        <v>52.739999999999995</v>
      </c>
    </row>
    <row r="76" spans="3:9" x14ac:dyDescent="0.3">
      <c r="C76" t="s">
        <v>8</v>
      </c>
      <c r="D76" t="s">
        <v>37</v>
      </c>
      <c r="E76" t="s">
        <v>15</v>
      </c>
      <c r="F76" s="4">
        <v>9709</v>
      </c>
      <c r="G76" s="5">
        <v>30</v>
      </c>
      <c r="H76" s="12">
        <f>_xlfn.XLOOKUP(Data[[#This Row],[Product]],products[Product],products[Cost per unit])</f>
        <v>11.73</v>
      </c>
      <c r="I76" s="32">
        <f>Data[[#This Row],[Cost Per Unit]]*Data[[#This Row],[Units]]</f>
        <v>351.90000000000003</v>
      </c>
    </row>
    <row r="77" spans="3:9" x14ac:dyDescent="0.3">
      <c r="C77" t="s">
        <v>7</v>
      </c>
      <c r="D77" t="s">
        <v>34</v>
      </c>
      <c r="E77" t="s">
        <v>20</v>
      </c>
      <c r="F77" s="4">
        <v>2205</v>
      </c>
      <c r="G77" s="5">
        <v>138</v>
      </c>
      <c r="H77" s="12">
        <f>_xlfn.XLOOKUP(Data[[#This Row],[Product]],products[Product],products[Cost per unit])</f>
        <v>10.62</v>
      </c>
      <c r="I77" s="32">
        <f>Data[[#This Row],[Cost Per Unit]]*Data[[#This Row],[Units]]</f>
        <v>1465.56</v>
      </c>
    </row>
    <row r="78" spans="3:9" x14ac:dyDescent="0.3">
      <c r="C78" t="s">
        <v>7</v>
      </c>
      <c r="D78" t="s">
        <v>37</v>
      </c>
      <c r="E78" t="s">
        <v>17</v>
      </c>
      <c r="F78" s="4">
        <v>4487</v>
      </c>
      <c r="G78" s="5">
        <v>111</v>
      </c>
      <c r="H78" s="12">
        <f>_xlfn.XLOOKUP(Data[[#This Row],[Product]],products[Product],products[Cost per unit])</f>
        <v>3.11</v>
      </c>
      <c r="I78" s="32">
        <f>Data[[#This Row],[Cost Per Unit]]*Data[[#This Row],[Units]]</f>
        <v>345.21</v>
      </c>
    </row>
    <row r="79" spans="3:9" x14ac:dyDescent="0.3">
      <c r="C79" t="s">
        <v>5</v>
      </c>
      <c r="D79" t="s">
        <v>35</v>
      </c>
      <c r="E79" t="s">
        <v>18</v>
      </c>
      <c r="F79" s="4">
        <v>2415</v>
      </c>
      <c r="G79" s="5">
        <v>15</v>
      </c>
      <c r="H79" s="12">
        <f>_xlfn.XLOOKUP(Data[[#This Row],[Product]],products[Product],products[Cost per unit])</f>
        <v>6.47</v>
      </c>
      <c r="I79" s="32">
        <f>Data[[#This Row],[Cost Per Unit]]*Data[[#This Row],[Units]]</f>
        <v>97.05</v>
      </c>
    </row>
    <row r="80" spans="3:9" x14ac:dyDescent="0.3">
      <c r="C80" t="s">
        <v>40</v>
      </c>
      <c r="D80" t="s">
        <v>34</v>
      </c>
      <c r="E80" t="s">
        <v>19</v>
      </c>
      <c r="F80" s="4">
        <v>4018</v>
      </c>
      <c r="G80" s="5">
        <v>162</v>
      </c>
      <c r="H80" s="12">
        <f>_xlfn.XLOOKUP(Data[[#This Row],[Product]],products[Product],products[Cost per unit])</f>
        <v>7.64</v>
      </c>
      <c r="I80" s="32">
        <f>Data[[#This Row],[Cost Per Unit]]*Data[[#This Row],[Units]]</f>
        <v>1237.6799999999998</v>
      </c>
    </row>
    <row r="81" spans="3:9" x14ac:dyDescent="0.3">
      <c r="C81" t="s">
        <v>5</v>
      </c>
      <c r="D81" t="s">
        <v>34</v>
      </c>
      <c r="E81" t="s">
        <v>19</v>
      </c>
      <c r="F81" s="4">
        <v>861</v>
      </c>
      <c r="G81" s="5">
        <v>195</v>
      </c>
      <c r="H81" s="12">
        <f>_xlfn.XLOOKUP(Data[[#This Row],[Product]],products[Product],products[Cost per unit])</f>
        <v>7.64</v>
      </c>
      <c r="I81" s="32">
        <f>Data[[#This Row],[Cost Per Unit]]*Data[[#This Row],[Units]]</f>
        <v>1489.8</v>
      </c>
    </row>
    <row r="82" spans="3:9" x14ac:dyDescent="0.3">
      <c r="C82" t="s">
        <v>10</v>
      </c>
      <c r="D82" t="s">
        <v>38</v>
      </c>
      <c r="E82" t="s">
        <v>14</v>
      </c>
      <c r="F82" s="4">
        <v>5586</v>
      </c>
      <c r="G82" s="5">
        <v>525</v>
      </c>
      <c r="H82" s="12">
        <f>_xlfn.XLOOKUP(Data[[#This Row],[Product]],products[Product],products[Cost per unit])</f>
        <v>11.7</v>
      </c>
      <c r="I82" s="32">
        <f>Data[[#This Row],[Cost Per Unit]]*Data[[#This Row],[Units]]</f>
        <v>6142.5</v>
      </c>
    </row>
    <row r="83" spans="3:9" x14ac:dyDescent="0.3">
      <c r="C83" t="s">
        <v>7</v>
      </c>
      <c r="D83" t="s">
        <v>34</v>
      </c>
      <c r="E83" t="s">
        <v>33</v>
      </c>
      <c r="F83" s="4">
        <v>2226</v>
      </c>
      <c r="G83" s="5">
        <v>48</v>
      </c>
      <c r="H83" s="12">
        <f>_xlfn.XLOOKUP(Data[[#This Row],[Product]],products[Product],products[Cost per unit])</f>
        <v>12.37</v>
      </c>
      <c r="I83" s="32">
        <f>Data[[#This Row],[Cost Per Unit]]*Data[[#This Row],[Units]]</f>
        <v>593.76</v>
      </c>
    </row>
    <row r="84" spans="3:9" x14ac:dyDescent="0.3">
      <c r="C84" t="s">
        <v>9</v>
      </c>
      <c r="D84" t="s">
        <v>34</v>
      </c>
      <c r="E84" t="s">
        <v>28</v>
      </c>
      <c r="F84" s="4">
        <v>14329</v>
      </c>
      <c r="G84" s="5">
        <v>150</v>
      </c>
      <c r="H84" s="12">
        <f>_xlfn.XLOOKUP(Data[[#This Row],[Product]],products[Product],products[Cost per unit])</f>
        <v>10.38</v>
      </c>
      <c r="I84" s="32">
        <f>Data[[#This Row],[Cost Per Unit]]*Data[[#This Row],[Units]]</f>
        <v>1557.0000000000002</v>
      </c>
    </row>
    <row r="85" spans="3:9" x14ac:dyDescent="0.3">
      <c r="C85" t="s">
        <v>9</v>
      </c>
      <c r="D85" t="s">
        <v>34</v>
      </c>
      <c r="E85" t="s">
        <v>20</v>
      </c>
      <c r="F85" s="4">
        <v>8463</v>
      </c>
      <c r="G85" s="5">
        <v>492</v>
      </c>
      <c r="H85" s="12">
        <f>_xlfn.XLOOKUP(Data[[#This Row],[Product]],products[Product],products[Cost per unit])</f>
        <v>10.62</v>
      </c>
      <c r="I85" s="32">
        <f>Data[[#This Row],[Cost Per Unit]]*Data[[#This Row],[Units]]</f>
        <v>5225.04</v>
      </c>
    </row>
    <row r="86" spans="3:9" x14ac:dyDescent="0.3">
      <c r="C86" t="s">
        <v>5</v>
      </c>
      <c r="D86" t="s">
        <v>34</v>
      </c>
      <c r="E86" t="s">
        <v>29</v>
      </c>
      <c r="F86" s="4">
        <v>2891</v>
      </c>
      <c r="G86" s="5">
        <v>102</v>
      </c>
      <c r="H86" s="12">
        <f>_xlfn.XLOOKUP(Data[[#This Row],[Product]],products[Product],products[Cost per unit])</f>
        <v>7.16</v>
      </c>
      <c r="I86" s="32">
        <f>Data[[#This Row],[Cost Per Unit]]*Data[[#This Row],[Units]]</f>
        <v>730.32</v>
      </c>
    </row>
    <row r="87" spans="3:9" x14ac:dyDescent="0.3">
      <c r="C87" t="s">
        <v>3</v>
      </c>
      <c r="D87" t="s">
        <v>36</v>
      </c>
      <c r="E87" t="s">
        <v>23</v>
      </c>
      <c r="F87" s="4">
        <v>3773</v>
      </c>
      <c r="G87" s="5">
        <v>165</v>
      </c>
      <c r="H87" s="12">
        <f>_xlfn.XLOOKUP(Data[[#This Row],[Product]],products[Product],products[Cost per unit])</f>
        <v>6.49</v>
      </c>
      <c r="I87" s="32">
        <f>Data[[#This Row],[Cost Per Unit]]*Data[[#This Row],[Units]]</f>
        <v>1070.8500000000001</v>
      </c>
    </row>
    <row r="88" spans="3:9" x14ac:dyDescent="0.3">
      <c r="C88" t="s">
        <v>41</v>
      </c>
      <c r="D88" t="s">
        <v>36</v>
      </c>
      <c r="E88" t="s">
        <v>28</v>
      </c>
      <c r="F88" s="4">
        <v>854</v>
      </c>
      <c r="G88" s="5">
        <v>309</v>
      </c>
      <c r="H88" s="12">
        <f>_xlfn.XLOOKUP(Data[[#This Row],[Product]],products[Product],products[Cost per unit])</f>
        <v>10.38</v>
      </c>
      <c r="I88" s="32">
        <f>Data[[#This Row],[Cost Per Unit]]*Data[[#This Row],[Units]]</f>
        <v>3207.42</v>
      </c>
    </row>
    <row r="89" spans="3:9" x14ac:dyDescent="0.3">
      <c r="C89" t="s">
        <v>6</v>
      </c>
      <c r="D89" t="s">
        <v>36</v>
      </c>
      <c r="E89" t="s">
        <v>17</v>
      </c>
      <c r="F89" s="4">
        <v>4970</v>
      </c>
      <c r="G89" s="5">
        <v>156</v>
      </c>
      <c r="H89" s="12">
        <f>_xlfn.XLOOKUP(Data[[#This Row],[Product]],products[Product],products[Cost per unit])</f>
        <v>3.11</v>
      </c>
      <c r="I89" s="32">
        <f>Data[[#This Row],[Cost Per Unit]]*Data[[#This Row],[Units]]</f>
        <v>485.15999999999997</v>
      </c>
    </row>
    <row r="90" spans="3:9" x14ac:dyDescent="0.3">
      <c r="C90" t="s">
        <v>9</v>
      </c>
      <c r="D90" t="s">
        <v>35</v>
      </c>
      <c r="E90" t="s">
        <v>26</v>
      </c>
      <c r="F90" s="4">
        <v>98</v>
      </c>
      <c r="G90" s="5">
        <v>159</v>
      </c>
      <c r="H90" s="12">
        <f>_xlfn.XLOOKUP(Data[[#This Row],[Product]],products[Product],products[Cost per unit])</f>
        <v>5.6</v>
      </c>
      <c r="I90" s="32">
        <f>Data[[#This Row],[Cost Per Unit]]*Data[[#This Row],[Units]]</f>
        <v>890.4</v>
      </c>
    </row>
    <row r="91" spans="3:9" x14ac:dyDescent="0.3">
      <c r="C91" t="s">
        <v>5</v>
      </c>
      <c r="D91" t="s">
        <v>35</v>
      </c>
      <c r="E91" t="s">
        <v>15</v>
      </c>
      <c r="F91" s="4">
        <v>13391</v>
      </c>
      <c r="G91" s="5">
        <v>201</v>
      </c>
      <c r="H91" s="12">
        <f>_xlfn.XLOOKUP(Data[[#This Row],[Product]],products[Product],products[Cost per unit])</f>
        <v>11.73</v>
      </c>
      <c r="I91" s="32">
        <f>Data[[#This Row],[Cost Per Unit]]*Data[[#This Row],[Units]]</f>
        <v>2357.73</v>
      </c>
    </row>
    <row r="92" spans="3:9" x14ac:dyDescent="0.3">
      <c r="C92" t="s">
        <v>8</v>
      </c>
      <c r="D92" t="s">
        <v>39</v>
      </c>
      <c r="E92" t="s">
        <v>31</v>
      </c>
      <c r="F92" s="4">
        <v>8890</v>
      </c>
      <c r="G92" s="5">
        <v>210</v>
      </c>
      <c r="H92" s="12">
        <f>_xlfn.XLOOKUP(Data[[#This Row],[Product]],products[Product],products[Cost per unit])</f>
        <v>5.79</v>
      </c>
      <c r="I92" s="32">
        <f>Data[[#This Row],[Cost Per Unit]]*Data[[#This Row],[Units]]</f>
        <v>1215.9000000000001</v>
      </c>
    </row>
    <row r="93" spans="3:9" x14ac:dyDescent="0.3">
      <c r="C93" t="s">
        <v>2</v>
      </c>
      <c r="D93" t="s">
        <v>38</v>
      </c>
      <c r="E93" t="s">
        <v>13</v>
      </c>
      <c r="F93" s="4">
        <v>56</v>
      </c>
      <c r="G93" s="5">
        <v>51</v>
      </c>
      <c r="H93" s="12">
        <f>_xlfn.XLOOKUP(Data[[#This Row],[Product]],products[Product],products[Cost per unit])</f>
        <v>9.33</v>
      </c>
      <c r="I93" s="32">
        <f>Data[[#This Row],[Cost Per Unit]]*Data[[#This Row],[Units]]</f>
        <v>475.83</v>
      </c>
    </row>
    <row r="94" spans="3:9" x14ac:dyDescent="0.3">
      <c r="C94" t="s">
        <v>3</v>
      </c>
      <c r="D94" t="s">
        <v>36</v>
      </c>
      <c r="E94" t="s">
        <v>25</v>
      </c>
      <c r="F94" s="4">
        <v>3339</v>
      </c>
      <c r="G94" s="5">
        <v>39</v>
      </c>
      <c r="H94" s="12">
        <f>_xlfn.XLOOKUP(Data[[#This Row],[Product]],products[Product],products[Cost per unit])</f>
        <v>13.15</v>
      </c>
      <c r="I94" s="32">
        <f>Data[[#This Row],[Cost Per Unit]]*Data[[#This Row],[Units]]</f>
        <v>512.85</v>
      </c>
    </row>
    <row r="95" spans="3:9" x14ac:dyDescent="0.3">
      <c r="C95" t="s">
        <v>10</v>
      </c>
      <c r="D95" t="s">
        <v>35</v>
      </c>
      <c r="E95" t="s">
        <v>18</v>
      </c>
      <c r="F95" s="4">
        <v>3808</v>
      </c>
      <c r="G95" s="5">
        <v>279</v>
      </c>
      <c r="H95" s="12">
        <f>_xlfn.XLOOKUP(Data[[#This Row],[Product]],products[Product],products[Cost per unit])</f>
        <v>6.47</v>
      </c>
      <c r="I95" s="32">
        <f>Data[[#This Row],[Cost Per Unit]]*Data[[#This Row],[Units]]</f>
        <v>1805.1299999999999</v>
      </c>
    </row>
    <row r="96" spans="3:9" x14ac:dyDescent="0.3">
      <c r="C96" t="s">
        <v>10</v>
      </c>
      <c r="D96" t="s">
        <v>38</v>
      </c>
      <c r="E96" t="s">
        <v>13</v>
      </c>
      <c r="F96" s="4">
        <v>63</v>
      </c>
      <c r="G96" s="5">
        <v>123</v>
      </c>
      <c r="H96" s="12">
        <f>_xlfn.XLOOKUP(Data[[#This Row],[Product]],products[Product],products[Cost per unit])</f>
        <v>9.33</v>
      </c>
      <c r="I96" s="32">
        <f>Data[[#This Row],[Cost Per Unit]]*Data[[#This Row],[Units]]</f>
        <v>1147.5899999999999</v>
      </c>
    </row>
    <row r="97" spans="3:9" x14ac:dyDescent="0.3">
      <c r="C97" t="s">
        <v>2</v>
      </c>
      <c r="D97" t="s">
        <v>39</v>
      </c>
      <c r="E97" t="s">
        <v>27</v>
      </c>
      <c r="F97" s="4">
        <v>7812</v>
      </c>
      <c r="G97" s="5">
        <v>81</v>
      </c>
      <c r="H97" s="12">
        <f>_xlfn.XLOOKUP(Data[[#This Row],[Product]],products[Product],products[Cost per unit])</f>
        <v>16.73</v>
      </c>
      <c r="I97" s="32">
        <f>Data[[#This Row],[Cost Per Unit]]*Data[[#This Row],[Units]]</f>
        <v>1355.13</v>
      </c>
    </row>
    <row r="98" spans="3:9" x14ac:dyDescent="0.3">
      <c r="C98" t="s">
        <v>40</v>
      </c>
      <c r="D98" t="s">
        <v>37</v>
      </c>
      <c r="E98" t="s">
        <v>19</v>
      </c>
      <c r="F98" s="4">
        <v>7693</v>
      </c>
      <c r="G98" s="5">
        <v>21</v>
      </c>
      <c r="H98" s="12">
        <f>_xlfn.XLOOKUP(Data[[#This Row],[Product]],products[Product],products[Cost per unit])</f>
        <v>7.64</v>
      </c>
      <c r="I98" s="32">
        <f>Data[[#This Row],[Cost Per Unit]]*Data[[#This Row],[Units]]</f>
        <v>160.44</v>
      </c>
    </row>
    <row r="99" spans="3:9" x14ac:dyDescent="0.3">
      <c r="C99" t="s">
        <v>3</v>
      </c>
      <c r="D99" t="s">
        <v>36</v>
      </c>
      <c r="E99" t="s">
        <v>28</v>
      </c>
      <c r="F99" s="4">
        <v>973</v>
      </c>
      <c r="G99" s="5">
        <v>162</v>
      </c>
      <c r="H99" s="12">
        <f>_xlfn.XLOOKUP(Data[[#This Row],[Product]],products[Product],products[Cost per unit])</f>
        <v>10.38</v>
      </c>
      <c r="I99" s="32">
        <f>Data[[#This Row],[Cost Per Unit]]*Data[[#This Row],[Units]]</f>
        <v>1681.5600000000002</v>
      </c>
    </row>
    <row r="100" spans="3:9" x14ac:dyDescent="0.3">
      <c r="C100" t="s">
        <v>10</v>
      </c>
      <c r="D100" t="s">
        <v>35</v>
      </c>
      <c r="E100" t="s">
        <v>21</v>
      </c>
      <c r="F100" s="4">
        <v>567</v>
      </c>
      <c r="G100" s="5">
        <v>228</v>
      </c>
      <c r="H100" s="12">
        <f>_xlfn.XLOOKUP(Data[[#This Row],[Product]],products[Product],products[Cost per unit])</f>
        <v>9</v>
      </c>
      <c r="I100" s="32">
        <f>Data[[#This Row],[Cost Per Unit]]*Data[[#This Row],[Units]]</f>
        <v>2052</v>
      </c>
    </row>
    <row r="101" spans="3:9" x14ac:dyDescent="0.3">
      <c r="C101" t="s">
        <v>10</v>
      </c>
      <c r="D101" t="s">
        <v>36</v>
      </c>
      <c r="E101" t="s">
        <v>29</v>
      </c>
      <c r="F101" s="4">
        <v>2471</v>
      </c>
      <c r="G101" s="5">
        <v>342</v>
      </c>
      <c r="H101" s="12">
        <f>_xlfn.XLOOKUP(Data[[#This Row],[Product]],products[Product],products[Cost per unit])</f>
        <v>7.16</v>
      </c>
      <c r="I101" s="32">
        <f>Data[[#This Row],[Cost Per Unit]]*Data[[#This Row],[Units]]</f>
        <v>2448.7200000000003</v>
      </c>
    </row>
    <row r="102" spans="3:9" x14ac:dyDescent="0.3">
      <c r="C102" t="s">
        <v>5</v>
      </c>
      <c r="D102" t="s">
        <v>38</v>
      </c>
      <c r="E102" t="s">
        <v>13</v>
      </c>
      <c r="F102" s="4">
        <v>7189</v>
      </c>
      <c r="G102" s="5">
        <v>54</v>
      </c>
      <c r="H102" s="12">
        <f>_xlfn.XLOOKUP(Data[[#This Row],[Product]],products[Product],products[Cost per unit])</f>
        <v>9.33</v>
      </c>
      <c r="I102" s="32">
        <f>Data[[#This Row],[Cost Per Unit]]*Data[[#This Row],[Units]]</f>
        <v>503.82</v>
      </c>
    </row>
    <row r="103" spans="3:9" x14ac:dyDescent="0.3">
      <c r="C103" t="s">
        <v>41</v>
      </c>
      <c r="D103" t="s">
        <v>35</v>
      </c>
      <c r="E103" t="s">
        <v>28</v>
      </c>
      <c r="F103" s="4">
        <v>7455</v>
      </c>
      <c r="G103" s="5">
        <v>216</v>
      </c>
      <c r="H103" s="12">
        <f>_xlfn.XLOOKUP(Data[[#This Row],[Product]],products[Product],products[Cost per unit])</f>
        <v>10.38</v>
      </c>
      <c r="I103" s="32">
        <f>Data[[#This Row],[Cost Per Unit]]*Data[[#This Row],[Units]]</f>
        <v>2242.0800000000004</v>
      </c>
    </row>
    <row r="104" spans="3:9" x14ac:dyDescent="0.3">
      <c r="C104" t="s">
        <v>3</v>
      </c>
      <c r="D104" t="s">
        <v>34</v>
      </c>
      <c r="E104" t="s">
        <v>26</v>
      </c>
      <c r="F104" s="4">
        <v>3108</v>
      </c>
      <c r="G104" s="5">
        <v>54</v>
      </c>
      <c r="H104" s="12">
        <f>_xlfn.XLOOKUP(Data[[#This Row],[Product]],products[Product],products[Cost per unit])</f>
        <v>5.6</v>
      </c>
      <c r="I104" s="32">
        <f>Data[[#This Row],[Cost Per Unit]]*Data[[#This Row],[Units]]</f>
        <v>302.39999999999998</v>
      </c>
    </row>
    <row r="105" spans="3:9" x14ac:dyDescent="0.3">
      <c r="C105" t="s">
        <v>6</v>
      </c>
      <c r="D105" t="s">
        <v>38</v>
      </c>
      <c r="E105" t="s">
        <v>25</v>
      </c>
      <c r="F105" s="4">
        <v>469</v>
      </c>
      <c r="G105" s="5">
        <v>75</v>
      </c>
      <c r="H105" s="12">
        <f>_xlfn.XLOOKUP(Data[[#This Row],[Product]],products[Product],products[Cost per unit])</f>
        <v>13.15</v>
      </c>
      <c r="I105" s="32">
        <f>Data[[#This Row],[Cost Per Unit]]*Data[[#This Row],[Units]]</f>
        <v>986.25</v>
      </c>
    </row>
    <row r="106" spans="3:9" x14ac:dyDescent="0.3">
      <c r="C106" t="s">
        <v>9</v>
      </c>
      <c r="D106" t="s">
        <v>37</v>
      </c>
      <c r="E106" t="s">
        <v>23</v>
      </c>
      <c r="F106" s="4">
        <v>2737</v>
      </c>
      <c r="G106" s="5">
        <v>93</v>
      </c>
      <c r="H106" s="12">
        <f>_xlfn.XLOOKUP(Data[[#This Row],[Product]],products[Product],products[Cost per unit])</f>
        <v>6.49</v>
      </c>
      <c r="I106" s="32">
        <f>Data[[#This Row],[Cost Per Unit]]*Data[[#This Row],[Units]]</f>
        <v>603.57000000000005</v>
      </c>
    </row>
    <row r="107" spans="3:9" x14ac:dyDescent="0.3">
      <c r="C107" t="s">
        <v>9</v>
      </c>
      <c r="D107" t="s">
        <v>37</v>
      </c>
      <c r="E107" t="s">
        <v>25</v>
      </c>
      <c r="F107" s="4">
        <v>4305</v>
      </c>
      <c r="G107" s="5">
        <v>156</v>
      </c>
      <c r="H107" s="12">
        <f>_xlfn.XLOOKUP(Data[[#This Row],[Product]],products[Product],products[Cost per unit])</f>
        <v>13.15</v>
      </c>
      <c r="I107" s="32">
        <f>Data[[#This Row],[Cost Per Unit]]*Data[[#This Row],[Units]]</f>
        <v>2051.4</v>
      </c>
    </row>
    <row r="108" spans="3:9" x14ac:dyDescent="0.3">
      <c r="C108" t="s">
        <v>9</v>
      </c>
      <c r="D108" t="s">
        <v>38</v>
      </c>
      <c r="E108" t="s">
        <v>17</v>
      </c>
      <c r="F108" s="4">
        <v>2408</v>
      </c>
      <c r="G108" s="5">
        <v>9</v>
      </c>
      <c r="H108" s="12">
        <f>_xlfn.XLOOKUP(Data[[#This Row],[Product]],products[Product],products[Cost per unit])</f>
        <v>3.11</v>
      </c>
      <c r="I108" s="32">
        <f>Data[[#This Row],[Cost Per Unit]]*Data[[#This Row],[Units]]</f>
        <v>27.99</v>
      </c>
    </row>
    <row r="109" spans="3:9" x14ac:dyDescent="0.3">
      <c r="C109" t="s">
        <v>3</v>
      </c>
      <c r="D109" t="s">
        <v>36</v>
      </c>
      <c r="E109" t="s">
        <v>19</v>
      </c>
      <c r="F109" s="4">
        <v>1281</v>
      </c>
      <c r="G109" s="5">
        <v>18</v>
      </c>
      <c r="H109" s="12">
        <f>_xlfn.XLOOKUP(Data[[#This Row],[Product]],products[Product],products[Cost per unit])</f>
        <v>7.64</v>
      </c>
      <c r="I109" s="32">
        <f>Data[[#This Row],[Cost Per Unit]]*Data[[#This Row],[Units]]</f>
        <v>137.51999999999998</v>
      </c>
    </row>
    <row r="110" spans="3:9" x14ac:dyDescent="0.3">
      <c r="C110" t="s">
        <v>40</v>
      </c>
      <c r="D110" t="s">
        <v>35</v>
      </c>
      <c r="E110" t="s">
        <v>32</v>
      </c>
      <c r="F110" s="4">
        <v>12348</v>
      </c>
      <c r="G110" s="5">
        <v>234</v>
      </c>
      <c r="H110" s="12">
        <f>_xlfn.XLOOKUP(Data[[#This Row],[Product]],products[Product],products[Cost per unit])</f>
        <v>8.65</v>
      </c>
      <c r="I110" s="32">
        <f>Data[[#This Row],[Cost Per Unit]]*Data[[#This Row],[Units]]</f>
        <v>2024.1000000000001</v>
      </c>
    </row>
    <row r="111" spans="3:9" x14ac:dyDescent="0.3">
      <c r="C111" t="s">
        <v>3</v>
      </c>
      <c r="D111" t="s">
        <v>34</v>
      </c>
      <c r="E111" t="s">
        <v>28</v>
      </c>
      <c r="F111" s="4">
        <v>3689</v>
      </c>
      <c r="G111" s="5">
        <v>312</v>
      </c>
      <c r="H111" s="12">
        <f>_xlfn.XLOOKUP(Data[[#This Row],[Product]],products[Product],products[Cost per unit])</f>
        <v>10.38</v>
      </c>
      <c r="I111" s="32">
        <f>Data[[#This Row],[Cost Per Unit]]*Data[[#This Row],[Units]]</f>
        <v>3238.5600000000004</v>
      </c>
    </row>
    <row r="112" spans="3:9" x14ac:dyDescent="0.3">
      <c r="C112" t="s">
        <v>7</v>
      </c>
      <c r="D112" t="s">
        <v>36</v>
      </c>
      <c r="E112" t="s">
        <v>19</v>
      </c>
      <c r="F112" s="4">
        <v>2870</v>
      </c>
      <c r="G112" s="5">
        <v>300</v>
      </c>
      <c r="H112" s="12">
        <f>_xlfn.XLOOKUP(Data[[#This Row],[Product]],products[Product],products[Cost per unit])</f>
        <v>7.64</v>
      </c>
      <c r="I112" s="32">
        <f>Data[[#This Row],[Cost Per Unit]]*Data[[#This Row],[Units]]</f>
        <v>2292</v>
      </c>
    </row>
    <row r="113" spans="3:9" x14ac:dyDescent="0.3">
      <c r="C113" t="s">
        <v>2</v>
      </c>
      <c r="D113" t="s">
        <v>36</v>
      </c>
      <c r="E113" t="s">
        <v>27</v>
      </c>
      <c r="F113" s="4">
        <v>798</v>
      </c>
      <c r="G113" s="5">
        <v>519</v>
      </c>
      <c r="H113" s="12">
        <f>_xlfn.XLOOKUP(Data[[#This Row],[Product]],products[Product],products[Cost per unit])</f>
        <v>16.73</v>
      </c>
      <c r="I113" s="32">
        <f>Data[[#This Row],[Cost Per Unit]]*Data[[#This Row],[Units]]</f>
        <v>8682.8700000000008</v>
      </c>
    </row>
    <row r="114" spans="3:9" x14ac:dyDescent="0.3">
      <c r="C114" t="s">
        <v>41</v>
      </c>
      <c r="D114" t="s">
        <v>37</v>
      </c>
      <c r="E114" t="s">
        <v>21</v>
      </c>
      <c r="F114" s="4">
        <v>2933</v>
      </c>
      <c r="G114" s="5">
        <v>9</v>
      </c>
      <c r="H114" s="12">
        <f>_xlfn.XLOOKUP(Data[[#This Row],[Product]],products[Product],products[Cost per unit])</f>
        <v>9</v>
      </c>
      <c r="I114" s="32">
        <f>Data[[#This Row],[Cost Per Unit]]*Data[[#This Row],[Units]]</f>
        <v>81</v>
      </c>
    </row>
    <row r="115" spans="3:9" x14ac:dyDescent="0.3">
      <c r="C115" t="s">
        <v>5</v>
      </c>
      <c r="D115" t="s">
        <v>35</v>
      </c>
      <c r="E115" t="s">
        <v>4</v>
      </c>
      <c r="F115" s="4">
        <v>2744</v>
      </c>
      <c r="G115" s="5">
        <v>9</v>
      </c>
      <c r="H115" s="12">
        <f>_xlfn.XLOOKUP(Data[[#This Row],[Product]],products[Product],products[Cost per unit])</f>
        <v>11.88</v>
      </c>
      <c r="I115" s="32">
        <f>Data[[#This Row],[Cost Per Unit]]*Data[[#This Row],[Units]]</f>
        <v>106.92</v>
      </c>
    </row>
    <row r="116" spans="3:9" x14ac:dyDescent="0.3">
      <c r="C116" t="s">
        <v>40</v>
      </c>
      <c r="D116" t="s">
        <v>36</v>
      </c>
      <c r="E116" t="s">
        <v>33</v>
      </c>
      <c r="F116" s="4">
        <v>9772</v>
      </c>
      <c r="G116" s="5">
        <v>90</v>
      </c>
      <c r="H116" s="12">
        <f>_xlfn.XLOOKUP(Data[[#This Row],[Product]],products[Product],products[Cost per unit])</f>
        <v>12.37</v>
      </c>
      <c r="I116" s="32">
        <f>Data[[#This Row],[Cost Per Unit]]*Data[[#This Row],[Units]]</f>
        <v>1113.3</v>
      </c>
    </row>
    <row r="117" spans="3:9" x14ac:dyDescent="0.3">
      <c r="C117" t="s">
        <v>7</v>
      </c>
      <c r="D117" t="s">
        <v>34</v>
      </c>
      <c r="E117" t="s">
        <v>25</v>
      </c>
      <c r="F117" s="4">
        <v>1568</v>
      </c>
      <c r="G117" s="5">
        <v>96</v>
      </c>
      <c r="H117" s="12">
        <f>_xlfn.XLOOKUP(Data[[#This Row],[Product]],products[Product],products[Cost per unit])</f>
        <v>13.15</v>
      </c>
      <c r="I117" s="32">
        <f>Data[[#This Row],[Cost Per Unit]]*Data[[#This Row],[Units]]</f>
        <v>1262.4000000000001</v>
      </c>
    </row>
    <row r="118" spans="3:9" x14ac:dyDescent="0.3">
      <c r="C118" t="s">
        <v>2</v>
      </c>
      <c r="D118" t="s">
        <v>36</v>
      </c>
      <c r="E118" t="s">
        <v>16</v>
      </c>
      <c r="F118" s="4">
        <v>11417</v>
      </c>
      <c r="G118" s="5">
        <v>21</v>
      </c>
      <c r="H118" s="12">
        <f>_xlfn.XLOOKUP(Data[[#This Row],[Product]],products[Product],products[Cost per unit])</f>
        <v>8.7899999999999991</v>
      </c>
      <c r="I118" s="32">
        <f>Data[[#This Row],[Cost Per Unit]]*Data[[#This Row],[Units]]</f>
        <v>184.58999999999997</v>
      </c>
    </row>
    <row r="119" spans="3:9" x14ac:dyDescent="0.3">
      <c r="C119" t="s">
        <v>40</v>
      </c>
      <c r="D119" t="s">
        <v>34</v>
      </c>
      <c r="E119" t="s">
        <v>26</v>
      </c>
      <c r="F119" s="4">
        <v>6748</v>
      </c>
      <c r="G119" s="5">
        <v>48</v>
      </c>
      <c r="H119" s="12">
        <f>_xlfn.XLOOKUP(Data[[#This Row],[Product]],products[Product],products[Cost per unit])</f>
        <v>5.6</v>
      </c>
      <c r="I119" s="32">
        <f>Data[[#This Row],[Cost Per Unit]]*Data[[#This Row],[Units]]</f>
        <v>268.79999999999995</v>
      </c>
    </row>
    <row r="120" spans="3:9" x14ac:dyDescent="0.3">
      <c r="C120" t="s">
        <v>10</v>
      </c>
      <c r="D120" t="s">
        <v>36</v>
      </c>
      <c r="E120" t="s">
        <v>27</v>
      </c>
      <c r="F120" s="4">
        <v>1407</v>
      </c>
      <c r="G120" s="5">
        <v>72</v>
      </c>
      <c r="H120" s="12">
        <f>_xlfn.XLOOKUP(Data[[#This Row],[Product]],products[Product],products[Cost per unit])</f>
        <v>16.73</v>
      </c>
      <c r="I120" s="32">
        <f>Data[[#This Row],[Cost Per Unit]]*Data[[#This Row],[Units]]</f>
        <v>1204.56</v>
      </c>
    </row>
    <row r="121" spans="3:9" x14ac:dyDescent="0.3">
      <c r="C121" t="s">
        <v>8</v>
      </c>
      <c r="D121" t="s">
        <v>35</v>
      </c>
      <c r="E121" t="s">
        <v>29</v>
      </c>
      <c r="F121" s="4">
        <v>2023</v>
      </c>
      <c r="G121" s="5">
        <v>168</v>
      </c>
      <c r="H121" s="12">
        <f>_xlfn.XLOOKUP(Data[[#This Row],[Product]],products[Product],products[Cost per unit])</f>
        <v>7.16</v>
      </c>
      <c r="I121" s="32">
        <f>Data[[#This Row],[Cost Per Unit]]*Data[[#This Row],[Units]]</f>
        <v>1202.8800000000001</v>
      </c>
    </row>
    <row r="122" spans="3:9" x14ac:dyDescent="0.3">
      <c r="C122" t="s">
        <v>5</v>
      </c>
      <c r="D122" t="s">
        <v>39</v>
      </c>
      <c r="E122" t="s">
        <v>26</v>
      </c>
      <c r="F122" s="4">
        <v>5236</v>
      </c>
      <c r="G122" s="5">
        <v>51</v>
      </c>
      <c r="H122" s="12">
        <f>_xlfn.XLOOKUP(Data[[#This Row],[Product]],products[Product],products[Cost per unit])</f>
        <v>5.6</v>
      </c>
      <c r="I122" s="32">
        <f>Data[[#This Row],[Cost Per Unit]]*Data[[#This Row],[Units]]</f>
        <v>285.59999999999997</v>
      </c>
    </row>
    <row r="123" spans="3:9" x14ac:dyDescent="0.3">
      <c r="C123" t="s">
        <v>41</v>
      </c>
      <c r="D123" t="s">
        <v>36</v>
      </c>
      <c r="E123" t="s">
        <v>19</v>
      </c>
      <c r="F123" s="4">
        <v>1925</v>
      </c>
      <c r="G123" s="5">
        <v>192</v>
      </c>
      <c r="H123" s="12">
        <f>_xlfn.XLOOKUP(Data[[#This Row],[Product]],products[Product],products[Cost per unit])</f>
        <v>7.64</v>
      </c>
      <c r="I123" s="32">
        <f>Data[[#This Row],[Cost Per Unit]]*Data[[#This Row],[Units]]</f>
        <v>1466.8799999999999</v>
      </c>
    </row>
    <row r="124" spans="3:9" x14ac:dyDescent="0.3">
      <c r="C124" t="s">
        <v>7</v>
      </c>
      <c r="D124" t="s">
        <v>37</v>
      </c>
      <c r="E124" t="s">
        <v>14</v>
      </c>
      <c r="F124" s="4">
        <v>6608</v>
      </c>
      <c r="G124" s="5">
        <v>225</v>
      </c>
      <c r="H124" s="12">
        <f>_xlfn.XLOOKUP(Data[[#This Row],[Product]],products[Product],products[Cost per unit])</f>
        <v>11.7</v>
      </c>
      <c r="I124" s="32">
        <f>Data[[#This Row],[Cost Per Unit]]*Data[[#This Row],[Units]]</f>
        <v>2632.5</v>
      </c>
    </row>
    <row r="125" spans="3:9" x14ac:dyDescent="0.3">
      <c r="C125" t="s">
        <v>6</v>
      </c>
      <c r="D125" t="s">
        <v>34</v>
      </c>
      <c r="E125" t="s">
        <v>26</v>
      </c>
      <c r="F125" s="4">
        <v>8008</v>
      </c>
      <c r="G125" s="5">
        <v>456</v>
      </c>
      <c r="H125" s="12">
        <f>_xlfn.XLOOKUP(Data[[#This Row],[Product]],products[Product],products[Cost per unit])</f>
        <v>5.6</v>
      </c>
      <c r="I125" s="32">
        <f>Data[[#This Row],[Cost Per Unit]]*Data[[#This Row],[Units]]</f>
        <v>2553.6</v>
      </c>
    </row>
    <row r="126" spans="3:9" x14ac:dyDescent="0.3">
      <c r="C126" t="s">
        <v>10</v>
      </c>
      <c r="D126" t="s">
        <v>34</v>
      </c>
      <c r="E126" t="s">
        <v>25</v>
      </c>
      <c r="F126" s="4">
        <v>1428</v>
      </c>
      <c r="G126" s="5">
        <v>93</v>
      </c>
      <c r="H126" s="12">
        <f>_xlfn.XLOOKUP(Data[[#This Row],[Product]],products[Product],products[Cost per unit])</f>
        <v>13.15</v>
      </c>
      <c r="I126" s="32">
        <f>Data[[#This Row],[Cost Per Unit]]*Data[[#This Row],[Units]]</f>
        <v>1222.95</v>
      </c>
    </row>
    <row r="127" spans="3:9" x14ac:dyDescent="0.3">
      <c r="C127" t="s">
        <v>6</v>
      </c>
      <c r="D127" t="s">
        <v>34</v>
      </c>
      <c r="E127" t="s">
        <v>4</v>
      </c>
      <c r="F127" s="4">
        <v>525</v>
      </c>
      <c r="G127" s="5">
        <v>48</v>
      </c>
      <c r="H127" s="12">
        <f>_xlfn.XLOOKUP(Data[[#This Row],[Product]],products[Product],products[Cost per unit])</f>
        <v>11.88</v>
      </c>
      <c r="I127" s="32">
        <f>Data[[#This Row],[Cost Per Unit]]*Data[[#This Row],[Units]]</f>
        <v>570.24</v>
      </c>
    </row>
    <row r="128" spans="3:9" x14ac:dyDescent="0.3">
      <c r="C128" t="s">
        <v>6</v>
      </c>
      <c r="D128" t="s">
        <v>37</v>
      </c>
      <c r="E128" t="s">
        <v>18</v>
      </c>
      <c r="F128" s="4">
        <v>1505</v>
      </c>
      <c r="G128" s="5">
        <v>102</v>
      </c>
      <c r="H128" s="12">
        <f>_xlfn.XLOOKUP(Data[[#This Row],[Product]],products[Product],products[Cost per unit])</f>
        <v>6.47</v>
      </c>
      <c r="I128" s="32">
        <f>Data[[#This Row],[Cost Per Unit]]*Data[[#This Row],[Units]]</f>
        <v>659.93999999999994</v>
      </c>
    </row>
    <row r="129" spans="3:9" x14ac:dyDescent="0.3">
      <c r="C129" t="s">
        <v>7</v>
      </c>
      <c r="D129" t="s">
        <v>35</v>
      </c>
      <c r="E129" t="s">
        <v>30</v>
      </c>
      <c r="F129" s="4">
        <v>6755</v>
      </c>
      <c r="G129" s="5">
        <v>252</v>
      </c>
      <c r="H129" s="12">
        <f>_xlfn.XLOOKUP(Data[[#This Row],[Product]],products[Product],products[Cost per unit])</f>
        <v>14.49</v>
      </c>
      <c r="I129" s="32">
        <f>Data[[#This Row],[Cost Per Unit]]*Data[[#This Row],[Units]]</f>
        <v>3651.48</v>
      </c>
    </row>
    <row r="130" spans="3:9" x14ac:dyDescent="0.3">
      <c r="C130" t="s">
        <v>2</v>
      </c>
      <c r="D130" t="s">
        <v>37</v>
      </c>
      <c r="E130" t="s">
        <v>18</v>
      </c>
      <c r="F130" s="4">
        <v>11571</v>
      </c>
      <c r="G130" s="5">
        <v>138</v>
      </c>
      <c r="H130" s="12">
        <f>_xlfn.XLOOKUP(Data[[#This Row],[Product]],products[Product],products[Cost per unit])</f>
        <v>6.47</v>
      </c>
      <c r="I130" s="32">
        <f>Data[[#This Row],[Cost Per Unit]]*Data[[#This Row],[Units]]</f>
        <v>892.86</v>
      </c>
    </row>
    <row r="131" spans="3:9" x14ac:dyDescent="0.3">
      <c r="C131" t="s">
        <v>40</v>
      </c>
      <c r="D131" t="s">
        <v>38</v>
      </c>
      <c r="E131" t="s">
        <v>25</v>
      </c>
      <c r="F131" s="4">
        <v>2541</v>
      </c>
      <c r="G131" s="5">
        <v>90</v>
      </c>
      <c r="H131" s="12">
        <f>_xlfn.XLOOKUP(Data[[#This Row],[Product]],products[Product],products[Cost per unit])</f>
        <v>13.15</v>
      </c>
      <c r="I131" s="32">
        <f>Data[[#This Row],[Cost Per Unit]]*Data[[#This Row],[Units]]</f>
        <v>1183.5</v>
      </c>
    </row>
    <row r="132" spans="3:9" x14ac:dyDescent="0.3">
      <c r="C132" t="s">
        <v>41</v>
      </c>
      <c r="D132" t="s">
        <v>37</v>
      </c>
      <c r="E132" t="s">
        <v>30</v>
      </c>
      <c r="F132" s="4">
        <v>1526</v>
      </c>
      <c r="G132" s="5">
        <v>240</v>
      </c>
      <c r="H132" s="12">
        <f>_xlfn.XLOOKUP(Data[[#This Row],[Product]],products[Product],products[Cost per unit])</f>
        <v>14.49</v>
      </c>
      <c r="I132" s="32">
        <f>Data[[#This Row],[Cost Per Unit]]*Data[[#This Row],[Units]]</f>
        <v>3477.6</v>
      </c>
    </row>
    <row r="133" spans="3:9" x14ac:dyDescent="0.3">
      <c r="C133" t="s">
        <v>40</v>
      </c>
      <c r="D133" t="s">
        <v>38</v>
      </c>
      <c r="E133" t="s">
        <v>4</v>
      </c>
      <c r="F133" s="4">
        <v>6125</v>
      </c>
      <c r="G133" s="5">
        <v>102</v>
      </c>
      <c r="H133" s="12">
        <f>_xlfn.XLOOKUP(Data[[#This Row],[Product]],products[Product],products[Cost per unit])</f>
        <v>11.88</v>
      </c>
      <c r="I133" s="32">
        <f>Data[[#This Row],[Cost Per Unit]]*Data[[#This Row],[Units]]</f>
        <v>1211.76</v>
      </c>
    </row>
    <row r="134" spans="3:9" x14ac:dyDescent="0.3">
      <c r="C134" t="s">
        <v>41</v>
      </c>
      <c r="D134" t="s">
        <v>35</v>
      </c>
      <c r="E134" t="s">
        <v>27</v>
      </c>
      <c r="F134" s="4">
        <v>847</v>
      </c>
      <c r="G134" s="5">
        <v>129</v>
      </c>
      <c r="H134" s="12">
        <f>_xlfn.XLOOKUP(Data[[#This Row],[Product]],products[Product],products[Cost per unit])</f>
        <v>16.73</v>
      </c>
      <c r="I134" s="32">
        <f>Data[[#This Row],[Cost Per Unit]]*Data[[#This Row],[Units]]</f>
        <v>2158.17</v>
      </c>
    </row>
    <row r="135" spans="3:9" x14ac:dyDescent="0.3">
      <c r="C135" t="s">
        <v>8</v>
      </c>
      <c r="D135" t="s">
        <v>35</v>
      </c>
      <c r="E135" t="s">
        <v>27</v>
      </c>
      <c r="F135" s="4">
        <v>4753</v>
      </c>
      <c r="G135" s="5">
        <v>300</v>
      </c>
      <c r="H135" s="12">
        <f>_xlfn.XLOOKUP(Data[[#This Row],[Product]],products[Product],products[Cost per unit])</f>
        <v>16.73</v>
      </c>
      <c r="I135" s="32">
        <f>Data[[#This Row],[Cost Per Unit]]*Data[[#This Row],[Units]]</f>
        <v>5019</v>
      </c>
    </row>
    <row r="136" spans="3:9" x14ac:dyDescent="0.3">
      <c r="C136" t="s">
        <v>6</v>
      </c>
      <c r="D136" t="s">
        <v>38</v>
      </c>
      <c r="E136" t="s">
        <v>33</v>
      </c>
      <c r="F136" s="4">
        <v>959</v>
      </c>
      <c r="G136" s="5">
        <v>135</v>
      </c>
      <c r="H136" s="12">
        <f>_xlfn.XLOOKUP(Data[[#This Row],[Product]],products[Product],products[Cost per unit])</f>
        <v>12.37</v>
      </c>
      <c r="I136" s="32">
        <f>Data[[#This Row],[Cost Per Unit]]*Data[[#This Row],[Units]]</f>
        <v>1669.9499999999998</v>
      </c>
    </row>
    <row r="137" spans="3:9" x14ac:dyDescent="0.3">
      <c r="C137" t="s">
        <v>7</v>
      </c>
      <c r="D137" t="s">
        <v>35</v>
      </c>
      <c r="E137" t="s">
        <v>24</v>
      </c>
      <c r="F137" s="4">
        <v>2793</v>
      </c>
      <c r="G137" s="5">
        <v>114</v>
      </c>
      <c r="H137" s="12">
        <f>_xlfn.XLOOKUP(Data[[#This Row],[Product]],products[Product],products[Cost per unit])</f>
        <v>4.97</v>
      </c>
      <c r="I137" s="32">
        <f>Data[[#This Row],[Cost Per Unit]]*Data[[#This Row],[Units]]</f>
        <v>566.57999999999993</v>
      </c>
    </row>
    <row r="138" spans="3:9" x14ac:dyDescent="0.3">
      <c r="C138" t="s">
        <v>7</v>
      </c>
      <c r="D138" t="s">
        <v>35</v>
      </c>
      <c r="E138" t="s">
        <v>14</v>
      </c>
      <c r="F138" s="4">
        <v>4606</v>
      </c>
      <c r="G138" s="5">
        <v>63</v>
      </c>
      <c r="H138" s="12">
        <f>_xlfn.XLOOKUP(Data[[#This Row],[Product]],products[Product],products[Cost per unit])</f>
        <v>11.7</v>
      </c>
      <c r="I138" s="32">
        <f>Data[[#This Row],[Cost Per Unit]]*Data[[#This Row],[Units]]</f>
        <v>737.09999999999991</v>
      </c>
    </row>
    <row r="139" spans="3:9" x14ac:dyDescent="0.3">
      <c r="C139" t="s">
        <v>7</v>
      </c>
      <c r="D139" t="s">
        <v>36</v>
      </c>
      <c r="E139" t="s">
        <v>29</v>
      </c>
      <c r="F139" s="4">
        <v>5551</v>
      </c>
      <c r="G139" s="5">
        <v>252</v>
      </c>
      <c r="H139" s="12">
        <f>_xlfn.XLOOKUP(Data[[#This Row],[Product]],products[Product],products[Cost per unit])</f>
        <v>7.16</v>
      </c>
      <c r="I139" s="32">
        <f>Data[[#This Row],[Cost Per Unit]]*Data[[#This Row],[Units]]</f>
        <v>1804.32</v>
      </c>
    </row>
    <row r="140" spans="3:9" x14ac:dyDescent="0.3">
      <c r="C140" t="s">
        <v>10</v>
      </c>
      <c r="D140" t="s">
        <v>36</v>
      </c>
      <c r="E140" t="s">
        <v>32</v>
      </c>
      <c r="F140" s="4">
        <v>6657</v>
      </c>
      <c r="G140" s="5">
        <v>303</v>
      </c>
      <c r="H140" s="12">
        <f>_xlfn.XLOOKUP(Data[[#This Row],[Product]],products[Product],products[Cost per unit])</f>
        <v>8.65</v>
      </c>
      <c r="I140" s="32">
        <f>Data[[#This Row],[Cost Per Unit]]*Data[[#This Row],[Units]]</f>
        <v>2620.9500000000003</v>
      </c>
    </row>
    <row r="141" spans="3:9" x14ac:dyDescent="0.3">
      <c r="C141" t="s">
        <v>7</v>
      </c>
      <c r="D141" t="s">
        <v>39</v>
      </c>
      <c r="E141" t="s">
        <v>17</v>
      </c>
      <c r="F141" s="4">
        <v>4438</v>
      </c>
      <c r="G141" s="5">
        <v>246</v>
      </c>
      <c r="H141" s="12">
        <f>_xlfn.XLOOKUP(Data[[#This Row],[Product]],products[Product],products[Cost per unit])</f>
        <v>3.11</v>
      </c>
      <c r="I141" s="32">
        <f>Data[[#This Row],[Cost Per Unit]]*Data[[#This Row],[Units]]</f>
        <v>765.06</v>
      </c>
    </row>
    <row r="142" spans="3:9" x14ac:dyDescent="0.3">
      <c r="C142" t="s">
        <v>8</v>
      </c>
      <c r="D142" t="s">
        <v>38</v>
      </c>
      <c r="E142" t="s">
        <v>22</v>
      </c>
      <c r="F142" s="4">
        <v>168</v>
      </c>
      <c r="G142" s="5">
        <v>84</v>
      </c>
      <c r="H142" s="12">
        <f>_xlfn.XLOOKUP(Data[[#This Row],[Product]],products[Product],products[Cost per unit])</f>
        <v>9.77</v>
      </c>
      <c r="I142" s="32">
        <f>Data[[#This Row],[Cost Per Unit]]*Data[[#This Row],[Units]]</f>
        <v>820.68</v>
      </c>
    </row>
    <row r="143" spans="3:9" x14ac:dyDescent="0.3">
      <c r="C143" t="s">
        <v>7</v>
      </c>
      <c r="D143" t="s">
        <v>34</v>
      </c>
      <c r="E143" t="s">
        <v>17</v>
      </c>
      <c r="F143" s="4">
        <v>7777</v>
      </c>
      <c r="G143" s="5">
        <v>39</v>
      </c>
      <c r="H143" s="12">
        <f>_xlfn.XLOOKUP(Data[[#This Row],[Product]],products[Product],products[Cost per unit])</f>
        <v>3.11</v>
      </c>
      <c r="I143" s="32">
        <f>Data[[#This Row],[Cost Per Unit]]*Data[[#This Row],[Units]]</f>
        <v>121.28999999999999</v>
      </c>
    </row>
    <row r="144" spans="3:9" x14ac:dyDescent="0.3">
      <c r="C144" t="s">
        <v>5</v>
      </c>
      <c r="D144" t="s">
        <v>36</v>
      </c>
      <c r="E144" t="s">
        <v>17</v>
      </c>
      <c r="F144" s="4">
        <v>3339</v>
      </c>
      <c r="G144" s="5">
        <v>348</v>
      </c>
      <c r="H144" s="12">
        <f>_xlfn.XLOOKUP(Data[[#This Row],[Product]],products[Product],products[Cost per unit])</f>
        <v>3.11</v>
      </c>
      <c r="I144" s="32">
        <f>Data[[#This Row],[Cost Per Unit]]*Data[[#This Row],[Units]]</f>
        <v>1082.28</v>
      </c>
    </row>
    <row r="145" spans="3:9" x14ac:dyDescent="0.3">
      <c r="C145" t="s">
        <v>7</v>
      </c>
      <c r="D145" t="s">
        <v>37</v>
      </c>
      <c r="E145" t="s">
        <v>33</v>
      </c>
      <c r="F145" s="4">
        <v>6391</v>
      </c>
      <c r="G145" s="5">
        <v>48</v>
      </c>
      <c r="H145" s="12">
        <f>_xlfn.XLOOKUP(Data[[#This Row],[Product]],products[Product],products[Cost per unit])</f>
        <v>12.37</v>
      </c>
      <c r="I145" s="32">
        <f>Data[[#This Row],[Cost Per Unit]]*Data[[#This Row],[Units]]</f>
        <v>593.76</v>
      </c>
    </row>
    <row r="146" spans="3:9" x14ac:dyDescent="0.3">
      <c r="C146" t="s">
        <v>5</v>
      </c>
      <c r="D146" t="s">
        <v>37</v>
      </c>
      <c r="E146" t="s">
        <v>22</v>
      </c>
      <c r="F146" s="4">
        <v>518</v>
      </c>
      <c r="G146" s="5">
        <v>75</v>
      </c>
      <c r="H146" s="12">
        <f>_xlfn.XLOOKUP(Data[[#This Row],[Product]],products[Product],products[Cost per unit])</f>
        <v>9.77</v>
      </c>
      <c r="I146" s="32">
        <f>Data[[#This Row],[Cost Per Unit]]*Data[[#This Row],[Units]]</f>
        <v>732.75</v>
      </c>
    </row>
    <row r="147" spans="3:9" x14ac:dyDescent="0.3">
      <c r="C147" t="s">
        <v>7</v>
      </c>
      <c r="D147" t="s">
        <v>38</v>
      </c>
      <c r="E147" t="s">
        <v>28</v>
      </c>
      <c r="F147" s="4">
        <v>5677</v>
      </c>
      <c r="G147" s="5">
        <v>258</v>
      </c>
      <c r="H147" s="12">
        <f>_xlfn.XLOOKUP(Data[[#This Row],[Product]],products[Product],products[Cost per unit])</f>
        <v>10.38</v>
      </c>
      <c r="I147" s="32">
        <f>Data[[#This Row],[Cost Per Unit]]*Data[[#This Row],[Units]]</f>
        <v>2678.0400000000004</v>
      </c>
    </row>
    <row r="148" spans="3:9" x14ac:dyDescent="0.3">
      <c r="C148" t="s">
        <v>6</v>
      </c>
      <c r="D148" t="s">
        <v>39</v>
      </c>
      <c r="E148" t="s">
        <v>17</v>
      </c>
      <c r="F148" s="4">
        <v>6048</v>
      </c>
      <c r="G148" s="5">
        <v>27</v>
      </c>
      <c r="H148" s="12">
        <f>_xlfn.XLOOKUP(Data[[#This Row],[Product]],products[Product],products[Cost per unit])</f>
        <v>3.11</v>
      </c>
      <c r="I148" s="32">
        <f>Data[[#This Row],[Cost Per Unit]]*Data[[#This Row],[Units]]</f>
        <v>83.97</v>
      </c>
    </row>
    <row r="149" spans="3:9" x14ac:dyDescent="0.3">
      <c r="C149" t="s">
        <v>8</v>
      </c>
      <c r="D149" t="s">
        <v>38</v>
      </c>
      <c r="E149" t="s">
        <v>32</v>
      </c>
      <c r="F149" s="4">
        <v>3752</v>
      </c>
      <c r="G149" s="5">
        <v>213</v>
      </c>
      <c r="H149" s="12">
        <f>_xlfn.XLOOKUP(Data[[#This Row],[Product]],products[Product],products[Cost per unit])</f>
        <v>8.65</v>
      </c>
      <c r="I149" s="32">
        <f>Data[[#This Row],[Cost Per Unit]]*Data[[#This Row],[Units]]</f>
        <v>1842.45</v>
      </c>
    </row>
    <row r="150" spans="3:9" x14ac:dyDescent="0.3">
      <c r="C150" t="s">
        <v>5</v>
      </c>
      <c r="D150" t="s">
        <v>35</v>
      </c>
      <c r="E150" t="s">
        <v>29</v>
      </c>
      <c r="F150" s="4">
        <v>4480</v>
      </c>
      <c r="G150" s="5">
        <v>357</v>
      </c>
      <c r="H150" s="12">
        <f>_xlfn.XLOOKUP(Data[[#This Row],[Product]],products[Product],products[Cost per unit])</f>
        <v>7.16</v>
      </c>
      <c r="I150" s="32">
        <f>Data[[#This Row],[Cost Per Unit]]*Data[[#This Row],[Units]]</f>
        <v>2556.12</v>
      </c>
    </row>
    <row r="151" spans="3:9" x14ac:dyDescent="0.3">
      <c r="C151" t="s">
        <v>9</v>
      </c>
      <c r="D151" t="s">
        <v>37</v>
      </c>
      <c r="E151" t="s">
        <v>4</v>
      </c>
      <c r="F151" s="4">
        <v>259</v>
      </c>
      <c r="G151" s="5">
        <v>207</v>
      </c>
      <c r="H151" s="12">
        <f>_xlfn.XLOOKUP(Data[[#This Row],[Product]],products[Product],products[Cost per unit])</f>
        <v>11.88</v>
      </c>
      <c r="I151" s="32">
        <f>Data[[#This Row],[Cost Per Unit]]*Data[[#This Row],[Units]]</f>
        <v>2459.1600000000003</v>
      </c>
    </row>
    <row r="152" spans="3:9" x14ac:dyDescent="0.3">
      <c r="C152" t="s">
        <v>8</v>
      </c>
      <c r="D152" t="s">
        <v>37</v>
      </c>
      <c r="E152" t="s">
        <v>30</v>
      </c>
      <c r="F152" s="4">
        <v>42</v>
      </c>
      <c r="G152" s="5">
        <v>150</v>
      </c>
      <c r="H152" s="12">
        <f>_xlfn.XLOOKUP(Data[[#This Row],[Product]],products[Product],products[Cost per unit])</f>
        <v>14.49</v>
      </c>
      <c r="I152" s="32">
        <f>Data[[#This Row],[Cost Per Unit]]*Data[[#This Row],[Units]]</f>
        <v>2173.5</v>
      </c>
    </row>
    <row r="153" spans="3:9" x14ac:dyDescent="0.3">
      <c r="C153" t="s">
        <v>41</v>
      </c>
      <c r="D153" t="s">
        <v>36</v>
      </c>
      <c r="E153" t="s">
        <v>26</v>
      </c>
      <c r="F153" s="4">
        <v>98</v>
      </c>
      <c r="G153" s="5">
        <v>204</v>
      </c>
      <c r="H153" s="12">
        <f>_xlfn.XLOOKUP(Data[[#This Row],[Product]],products[Product],products[Cost per unit])</f>
        <v>5.6</v>
      </c>
      <c r="I153" s="32">
        <f>Data[[#This Row],[Cost Per Unit]]*Data[[#This Row],[Units]]</f>
        <v>1142.3999999999999</v>
      </c>
    </row>
    <row r="154" spans="3:9" x14ac:dyDescent="0.3">
      <c r="C154" t="s">
        <v>7</v>
      </c>
      <c r="D154" t="s">
        <v>35</v>
      </c>
      <c r="E154" t="s">
        <v>27</v>
      </c>
      <c r="F154" s="4">
        <v>2478</v>
      </c>
      <c r="G154" s="5">
        <v>21</v>
      </c>
      <c r="H154" s="12">
        <f>_xlfn.XLOOKUP(Data[[#This Row],[Product]],products[Product],products[Cost per unit])</f>
        <v>16.73</v>
      </c>
      <c r="I154" s="32">
        <f>Data[[#This Row],[Cost Per Unit]]*Data[[#This Row],[Units]]</f>
        <v>351.33</v>
      </c>
    </row>
    <row r="155" spans="3:9" x14ac:dyDescent="0.3">
      <c r="C155" t="s">
        <v>41</v>
      </c>
      <c r="D155" t="s">
        <v>34</v>
      </c>
      <c r="E155" t="s">
        <v>33</v>
      </c>
      <c r="F155" s="4">
        <v>7847</v>
      </c>
      <c r="G155" s="5">
        <v>174</v>
      </c>
      <c r="H155" s="12">
        <f>_xlfn.XLOOKUP(Data[[#This Row],[Product]],products[Product],products[Cost per unit])</f>
        <v>12.37</v>
      </c>
      <c r="I155" s="32">
        <f>Data[[#This Row],[Cost Per Unit]]*Data[[#This Row],[Units]]</f>
        <v>2152.3799999999997</v>
      </c>
    </row>
    <row r="156" spans="3:9" x14ac:dyDescent="0.3">
      <c r="C156" t="s">
        <v>2</v>
      </c>
      <c r="D156" t="s">
        <v>37</v>
      </c>
      <c r="E156" t="s">
        <v>17</v>
      </c>
      <c r="F156" s="4">
        <v>9926</v>
      </c>
      <c r="G156" s="5">
        <v>201</v>
      </c>
      <c r="H156" s="12">
        <f>_xlfn.XLOOKUP(Data[[#This Row],[Product]],products[Product],products[Cost per unit])</f>
        <v>3.11</v>
      </c>
      <c r="I156" s="32">
        <f>Data[[#This Row],[Cost Per Unit]]*Data[[#This Row],[Units]]</f>
        <v>625.11</v>
      </c>
    </row>
    <row r="157" spans="3:9" x14ac:dyDescent="0.3">
      <c r="C157" t="s">
        <v>8</v>
      </c>
      <c r="D157" t="s">
        <v>38</v>
      </c>
      <c r="E157" t="s">
        <v>13</v>
      </c>
      <c r="F157" s="4">
        <v>819</v>
      </c>
      <c r="G157" s="5">
        <v>510</v>
      </c>
      <c r="H157" s="12">
        <f>_xlfn.XLOOKUP(Data[[#This Row],[Product]],products[Product],products[Cost per unit])</f>
        <v>9.33</v>
      </c>
      <c r="I157" s="32">
        <f>Data[[#This Row],[Cost Per Unit]]*Data[[#This Row],[Units]]</f>
        <v>4758.3</v>
      </c>
    </row>
    <row r="158" spans="3:9" x14ac:dyDescent="0.3">
      <c r="C158" t="s">
        <v>6</v>
      </c>
      <c r="D158" t="s">
        <v>39</v>
      </c>
      <c r="E158" t="s">
        <v>29</v>
      </c>
      <c r="F158" s="4">
        <v>3052</v>
      </c>
      <c r="G158" s="5">
        <v>378</v>
      </c>
      <c r="H158" s="12">
        <f>_xlfn.XLOOKUP(Data[[#This Row],[Product]],products[Product],products[Cost per unit])</f>
        <v>7.16</v>
      </c>
      <c r="I158" s="32">
        <f>Data[[#This Row],[Cost Per Unit]]*Data[[#This Row],[Units]]</f>
        <v>2706.48</v>
      </c>
    </row>
    <row r="159" spans="3:9" x14ac:dyDescent="0.3">
      <c r="C159" t="s">
        <v>9</v>
      </c>
      <c r="D159" t="s">
        <v>34</v>
      </c>
      <c r="E159" t="s">
        <v>21</v>
      </c>
      <c r="F159" s="4">
        <v>6832</v>
      </c>
      <c r="G159" s="5">
        <v>27</v>
      </c>
      <c r="H159" s="12">
        <f>_xlfn.XLOOKUP(Data[[#This Row],[Product]],products[Product],products[Cost per unit])</f>
        <v>9</v>
      </c>
      <c r="I159" s="32">
        <f>Data[[#This Row],[Cost Per Unit]]*Data[[#This Row],[Units]]</f>
        <v>243</v>
      </c>
    </row>
    <row r="160" spans="3:9" x14ac:dyDescent="0.3">
      <c r="C160" t="s">
        <v>2</v>
      </c>
      <c r="D160" t="s">
        <v>39</v>
      </c>
      <c r="E160" t="s">
        <v>16</v>
      </c>
      <c r="F160" s="4">
        <v>2016</v>
      </c>
      <c r="G160" s="5">
        <v>117</v>
      </c>
      <c r="H160" s="12">
        <f>_xlfn.XLOOKUP(Data[[#This Row],[Product]],products[Product],products[Cost per unit])</f>
        <v>8.7899999999999991</v>
      </c>
      <c r="I160" s="32">
        <f>Data[[#This Row],[Cost Per Unit]]*Data[[#This Row],[Units]]</f>
        <v>1028.4299999999998</v>
      </c>
    </row>
    <row r="161" spans="3:9" x14ac:dyDescent="0.3">
      <c r="C161" t="s">
        <v>6</v>
      </c>
      <c r="D161" t="s">
        <v>38</v>
      </c>
      <c r="E161" t="s">
        <v>21</v>
      </c>
      <c r="F161" s="4">
        <v>7322</v>
      </c>
      <c r="G161" s="5">
        <v>36</v>
      </c>
      <c r="H161" s="12">
        <f>_xlfn.XLOOKUP(Data[[#This Row],[Product]],products[Product],products[Cost per unit])</f>
        <v>9</v>
      </c>
      <c r="I161" s="32">
        <f>Data[[#This Row],[Cost Per Unit]]*Data[[#This Row],[Units]]</f>
        <v>324</v>
      </c>
    </row>
    <row r="162" spans="3:9" x14ac:dyDescent="0.3">
      <c r="C162" t="s">
        <v>8</v>
      </c>
      <c r="D162" t="s">
        <v>35</v>
      </c>
      <c r="E162" t="s">
        <v>33</v>
      </c>
      <c r="F162" s="4">
        <v>357</v>
      </c>
      <c r="G162" s="5">
        <v>126</v>
      </c>
      <c r="H162" s="12">
        <f>_xlfn.XLOOKUP(Data[[#This Row],[Product]],products[Product],products[Cost per unit])</f>
        <v>12.37</v>
      </c>
      <c r="I162" s="32">
        <f>Data[[#This Row],[Cost Per Unit]]*Data[[#This Row],[Units]]</f>
        <v>1558.62</v>
      </c>
    </row>
    <row r="163" spans="3:9" x14ac:dyDescent="0.3">
      <c r="C163" t="s">
        <v>9</v>
      </c>
      <c r="D163" t="s">
        <v>39</v>
      </c>
      <c r="E163" t="s">
        <v>25</v>
      </c>
      <c r="F163" s="4">
        <v>3192</v>
      </c>
      <c r="G163" s="5">
        <v>72</v>
      </c>
      <c r="H163" s="12">
        <f>_xlfn.XLOOKUP(Data[[#This Row],[Product]],products[Product],products[Cost per unit])</f>
        <v>13.15</v>
      </c>
      <c r="I163" s="32">
        <f>Data[[#This Row],[Cost Per Unit]]*Data[[#This Row],[Units]]</f>
        <v>946.80000000000007</v>
      </c>
    </row>
    <row r="164" spans="3:9" x14ac:dyDescent="0.3">
      <c r="C164" t="s">
        <v>7</v>
      </c>
      <c r="D164" t="s">
        <v>36</v>
      </c>
      <c r="E164" t="s">
        <v>22</v>
      </c>
      <c r="F164" s="4">
        <v>8435</v>
      </c>
      <c r="G164" s="5">
        <v>42</v>
      </c>
      <c r="H164" s="12">
        <f>_xlfn.XLOOKUP(Data[[#This Row],[Product]],products[Product],products[Cost per unit])</f>
        <v>9.77</v>
      </c>
      <c r="I164" s="32">
        <f>Data[[#This Row],[Cost Per Unit]]*Data[[#This Row],[Units]]</f>
        <v>410.34</v>
      </c>
    </row>
    <row r="165" spans="3:9" x14ac:dyDescent="0.3">
      <c r="C165" t="s">
        <v>40</v>
      </c>
      <c r="D165" t="s">
        <v>39</v>
      </c>
      <c r="E165" t="s">
        <v>29</v>
      </c>
      <c r="F165" s="4">
        <v>0</v>
      </c>
      <c r="G165" s="5">
        <v>135</v>
      </c>
      <c r="H165" s="12">
        <f>_xlfn.XLOOKUP(Data[[#This Row],[Product]],products[Product],products[Cost per unit])</f>
        <v>7.16</v>
      </c>
      <c r="I165" s="32">
        <f>Data[[#This Row],[Cost Per Unit]]*Data[[#This Row],[Units]]</f>
        <v>966.6</v>
      </c>
    </row>
    <row r="166" spans="3:9" x14ac:dyDescent="0.3">
      <c r="C166" t="s">
        <v>7</v>
      </c>
      <c r="D166" t="s">
        <v>34</v>
      </c>
      <c r="E166" t="s">
        <v>24</v>
      </c>
      <c r="F166" s="4">
        <v>8862</v>
      </c>
      <c r="G166" s="5">
        <v>189</v>
      </c>
      <c r="H166" s="12">
        <f>_xlfn.XLOOKUP(Data[[#This Row],[Product]],products[Product],products[Cost per unit])</f>
        <v>4.97</v>
      </c>
      <c r="I166" s="32">
        <f>Data[[#This Row],[Cost Per Unit]]*Data[[#This Row],[Units]]</f>
        <v>939.32999999999993</v>
      </c>
    </row>
    <row r="167" spans="3:9" x14ac:dyDescent="0.3">
      <c r="C167" t="s">
        <v>6</v>
      </c>
      <c r="D167" t="s">
        <v>37</v>
      </c>
      <c r="E167" t="s">
        <v>28</v>
      </c>
      <c r="F167" s="4">
        <v>3556</v>
      </c>
      <c r="G167" s="5">
        <v>459</v>
      </c>
      <c r="H167" s="12">
        <f>_xlfn.XLOOKUP(Data[[#This Row],[Product]],products[Product],products[Cost per unit])</f>
        <v>10.38</v>
      </c>
      <c r="I167" s="32">
        <f>Data[[#This Row],[Cost Per Unit]]*Data[[#This Row],[Units]]</f>
        <v>4764.42</v>
      </c>
    </row>
    <row r="168" spans="3:9" x14ac:dyDescent="0.3">
      <c r="C168" t="s">
        <v>5</v>
      </c>
      <c r="D168" t="s">
        <v>34</v>
      </c>
      <c r="E168" t="s">
        <v>15</v>
      </c>
      <c r="F168" s="4">
        <v>7280</v>
      </c>
      <c r="G168" s="5">
        <v>201</v>
      </c>
      <c r="H168" s="12">
        <f>_xlfn.XLOOKUP(Data[[#This Row],[Product]],products[Product],products[Cost per unit])</f>
        <v>11.73</v>
      </c>
      <c r="I168" s="32">
        <f>Data[[#This Row],[Cost Per Unit]]*Data[[#This Row],[Units]]</f>
        <v>2357.73</v>
      </c>
    </row>
    <row r="169" spans="3:9" x14ac:dyDescent="0.3">
      <c r="C169" t="s">
        <v>6</v>
      </c>
      <c r="D169" t="s">
        <v>34</v>
      </c>
      <c r="E169" t="s">
        <v>30</v>
      </c>
      <c r="F169" s="4">
        <v>3402</v>
      </c>
      <c r="G169" s="5">
        <v>366</v>
      </c>
      <c r="H169" s="12">
        <f>_xlfn.XLOOKUP(Data[[#This Row],[Product]],products[Product],products[Cost per unit])</f>
        <v>14.49</v>
      </c>
      <c r="I169" s="32">
        <f>Data[[#This Row],[Cost Per Unit]]*Data[[#This Row],[Units]]</f>
        <v>5303.34</v>
      </c>
    </row>
    <row r="170" spans="3:9" x14ac:dyDescent="0.3">
      <c r="C170" t="s">
        <v>3</v>
      </c>
      <c r="D170" t="s">
        <v>37</v>
      </c>
      <c r="E170" t="s">
        <v>29</v>
      </c>
      <c r="F170" s="4">
        <v>4592</v>
      </c>
      <c r="G170" s="5">
        <v>324</v>
      </c>
      <c r="H170" s="12">
        <f>_xlfn.XLOOKUP(Data[[#This Row],[Product]],products[Product],products[Cost per unit])</f>
        <v>7.16</v>
      </c>
      <c r="I170" s="32">
        <f>Data[[#This Row],[Cost Per Unit]]*Data[[#This Row],[Units]]</f>
        <v>2319.84</v>
      </c>
    </row>
    <row r="171" spans="3:9" x14ac:dyDescent="0.3">
      <c r="C171" t="s">
        <v>9</v>
      </c>
      <c r="D171" t="s">
        <v>35</v>
      </c>
      <c r="E171" t="s">
        <v>15</v>
      </c>
      <c r="F171" s="4">
        <v>7833</v>
      </c>
      <c r="G171" s="5">
        <v>243</v>
      </c>
      <c r="H171" s="12">
        <f>_xlfn.XLOOKUP(Data[[#This Row],[Product]],products[Product],products[Cost per unit])</f>
        <v>11.73</v>
      </c>
      <c r="I171" s="32">
        <f>Data[[#This Row],[Cost Per Unit]]*Data[[#This Row],[Units]]</f>
        <v>2850.3900000000003</v>
      </c>
    </row>
    <row r="172" spans="3:9" x14ac:dyDescent="0.3">
      <c r="C172" t="s">
        <v>2</v>
      </c>
      <c r="D172" t="s">
        <v>39</v>
      </c>
      <c r="E172" t="s">
        <v>21</v>
      </c>
      <c r="F172" s="4">
        <v>7651</v>
      </c>
      <c r="G172" s="5">
        <v>213</v>
      </c>
      <c r="H172" s="12">
        <f>_xlfn.XLOOKUP(Data[[#This Row],[Product]],products[Product],products[Cost per unit])</f>
        <v>9</v>
      </c>
      <c r="I172" s="32">
        <f>Data[[#This Row],[Cost Per Unit]]*Data[[#This Row],[Units]]</f>
        <v>1917</v>
      </c>
    </row>
    <row r="173" spans="3:9" x14ac:dyDescent="0.3">
      <c r="C173" t="s">
        <v>40</v>
      </c>
      <c r="D173" t="s">
        <v>35</v>
      </c>
      <c r="E173" t="s">
        <v>30</v>
      </c>
      <c r="F173" s="4">
        <v>2275</v>
      </c>
      <c r="G173" s="5">
        <v>447</v>
      </c>
      <c r="H173" s="12">
        <f>_xlfn.XLOOKUP(Data[[#This Row],[Product]],products[Product],products[Cost per unit])</f>
        <v>14.49</v>
      </c>
      <c r="I173" s="32">
        <f>Data[[#This Row],[Cost Per Unit]]*Data[[#This Row],[Units]]</f>
        <v>6477.03</v>
      </c>
    </row>
    <row r="174" spans="3:9" x14ac:dyDescent="0.3">
      <c r="C174" t="s">
        <v>40</v>
      </c>
      <c r="D174" t="s">
        <v>38</v>
      </c>
      <c r="E174" t="s">
        <v>13</v>
      </c>
      <c r="F174" s="4">
        <v>5670</v>
      </c>
      <c r="G174" s="5">
        <v>297</v>
      </c>
      <c r="H174" s="12">
        <f>_xlfn.XLOOKUP(Data[[#This Row],[Product]],products[Product],products[Cost per unit])</f>
        <v>9.33</v>
      </c>
      <c r="I174" s="32">
        <f>Data[[#This Row],[Cost Per Unit]]*Data[[#This Row],[Units]]</f>
        <v>2771.01</v>
      </c>
    </row>
    <row r="175" spans="3:9" x14ac:dyDescent="0.3">
      <c r="C175" t="s">
        <v>7</v>
      </c>
      <c r="D175" t="s">
        <v>35</v>
      </c>
      <c r="E175" t="s">
        <v>16</v>
      </c>
      <c r="F175" s="4">
        <v>2135</v>
      </c>
      <c r="G175" s="5">
        <v>27</v>
      </c>
      <c r="H175" s="12">
        <f>_xlfn.XLOOKUP(Data[[#This Row],[Product]],products[Product],products[Cost per unit])</f>
        <v>8.7899999999999991</v>
      </c>
      <c r="I175" s="32">
        <f>Data[[#This Row],[Cost Per Unit]]*Data[[#This Row],[Units]]</f>
        <v>237.32999999999998</v>
      </c>
    </row>
    <row r="176" spans="3:9" x14ac:dyDescent="0.3">
      <c r="C176" t="s">
        <v>40</v>
      </c>
      <c r="D176" t="s">
        <v>34</v>
      </c>
      <c r="E176" t="s">
        <v>23</v>
      </c>
      <c r="F176" s="4">
        <v>2779</v>
      </c>
      <c r="G176" s="5">
        <v>75</v>
      </c>
      <c r="H176" s="12">
        <f>_xlfn.XLOOKUP(Data[[#This Row],[Product]],products[Product],products[Cost per unit])</f>
        <v>6.49</v>
      </c>
      <c r="I176" s="32">
        <f>Data[[#This Row],[Cost Per Unit]]*Data[[#This Row],[Units]]</f>
        <v>486.75</v>
      </c>
    </row>
    <row r="177" spans="3:9" x14ac:dyDescent="0.3">
      <c r="C177" t="s">
        <v>10</v>
      </c>
      <c r="D177" t="s">
        <v>39</v>
      </c>
      <c r="E177" t="s">
        <v>33</v>
      </c>
      <c r="F177" s="4">
        <v>12950</v>
      </c>
      <c r="G177" s="5">
        <v>30</v>
      </c>
      <c r="H177" s="12">
        <f>_xlfn.XLOOKUP(Data[[#This Row],[Product]],products[Product],products[Cost per unit])</f>
        <v>12.37</v>
      </c>
      <c r="I177" s="32">
        <f>Data[[#This Row],[Cost Per Unit]]*Data[[#This Row],[Units]]</f>
        <v>371.09999999999997</v>
      </c>
    </row>
    <row r="178" spans="3:9" x14ac:dyDescent="0.3">
      <c r="C178" t="s">
        <v>7</v>
      </c>
      <c r="D178" t="s">
        <v>36</v>
      </c>
      <c r="E178" t="s">
        <v>18</v>
      </c>
      <c r="F178" s="4">
        <v>2646</v>
      </c>
      <c r="G178" s="5">
        <v>177</v>
      </c>
      <c r="H178" s="12">
        <f>_xlfn.XLOOKUP(Data[[#This Row],[Product]],products[Product],products[Cost per unit])</f>
        <v>6.47</v>
      </c>
      <c r="I178" s="32">
        <f>Data[[#This Row],[Cost Per Unit]]*Data[[#This Row],[Units]]</f>
        <v>1145.19</v>
      </c>
    </row>
    <row r="179" spans="3:9" x14ac:dyDescent="0.3">
      <c r="C179" t="s">
        <v>40</v>
      </c>
      <c r="D179" t="s">
        <v>34</v>
      </c>
      <c r="E179" t="s">
        <v>33</v>
      </c>
      <c r="F179" s="4">
        <v>3794</v>
      </c>
      <c r="G179" s="5">
        <v>159</v>
      </c>
      <c r="H179" s="12">
        <f>_xlfn.XLOOKUP(Data[[#This Row],[Product]],products[Product],products[Cost per unit])</f>
        <v>12.37</v>
      </c>
      <c r="I179" s="32">
        <f>Data[[#This Row],[Cost Per Unit]]*Data[[#This Row],[Units]]</f>
        <v>1966.83</v>
      </c>
    </row>
    <row r="180" spans="3:9" x14ac:dyDescent="0.3">
      <c r="C180" t="s">
        <v>3</v>
      </c>
      <c r="D180" t="s">
        <v>35</v>
      </c>
      <c r="E180" t="s">
        <v>33</v>
      </c>
      <c r="F180" s="4">
        <v>819</v>
      </c>
      <c r="G180" s="5">
        <v>306</v>
      </c>
      <c r="H180" s="12">
        <f>_xlfn.XLOOKUP(Data[[#This Row],[Product]],products[Product],products[Cost per unit])</f>
        <v>12.37</v>
      </c>
      <c r="I180" s="32">
        <f>Data[[#This Row],[Cost Per Unit]]*Data[[#This Row],[Units]]</f>
        <v>3785.22</v>
      </c>
    </row>
    <row r="181" spans="3:9" x14ac:dyDescent="0.3">
      <c r="C181" t="s">
        <v>3</v>
      </c>
      <c r="D181" t="s">
        <v>34</v>
      </c>
      <c r="E181" t="s">
        <v>20</v>
      </c>
      <c r="F181" s="4">
        <v>2583</v>
      </c>
      <c r="G181" s="5">
        <v>18</v>
      </c>
      <c r="H181" s="12">
        <f>_xlfn.XLOOKUP(Data[[#This Row],[Product]],products[Product],products[Cost per unit])</f>
        <v>10.62</v>
      </c>
      <c r="I181" s="32">
        <f>Data[[#This Row],[Cost Per Unit]]*Data[[#This Row],[Units]]</f>
        <v>191.16</v>
      </c>
    </row>
    <row r="182" spans="3:9" x14ac:dyDescent="0.3">
      <c r="C182" t="s">
        <v>7</v>
      </c>
      <c r="D182" t="s">
        <v>35</v>
      </c>
      <c r="E182" t="s">
        <v>19</v>
      </c>
      <c r="F182" s="4">
        <v>4585</v>
      </c>
      <c r="G182" s="5">
        <v>240</v>
      </c>
      <c r="H182" s="12">
        <f>_xlfn.XLOOKUP(Data[[#This Row],[Product]],products[Product],products[Cost per unit])</f>
        <v>7.64</v>
      </c>
      <c r="I182" s="32">
        <f>Data[[#This Row],[Cost Per Unit]]*Data[[#This Row],[Units]]</f>
        <v>1833.6</v>
      </c>
    </row>
    <row r="183" spans="3:9" x14ac:dyDescent="0.3">
      <c r="C183" t="s">
        <v>5</v>
      </c>
      <c r="D183" t="s">
        <v>34</v>
      </c>
      <c r="E183" t="s">
        <v>33</v>
      </c>
      <c r="F183" s="4">
        <v>1652</v>
      </c>
      <c r="G183" s="5">
        <v>93</v>
      </c>
      <c r="H183" s="12">
        <f>_xlfn.XLOOKUP(Data[[#This Row],[Product]],products[Product],products[Cost per unit])</f>
        <v>12.37</v>
      </c>
      <c r="I183" s="32">
        <f>Data[[#This Row],[Cost Per Unit]]*Data[[#This Row],[Units]]</f>
        <v>1150.4099999999999</v>
      </c>
    </row>
    <row r="184" spans="3:9" x14ac:dyDescent="0.3">
      <c r="C184" t="s">
        <v>10</v>
      </c>
      <c r="D184" t="s">
        <v>34</v>
      </c>
      <c r="E184" t="s">
        <v>26</v>
      </c>
      <c r="F184" s="4">
        <v>4991</v>
      </c>
      <c r="G184" s="5">
        <v>9</v>
      </c>
      <c r="H184" s="12">
        <f>_xlfn.XLOOKUP(Data[[#This Row],[Product]],products[Product],products[Cost per unit])</f>
        <v>5.6</v>
      </c>
      <c r="I184" s="32">
        <f>Data[[#This Row],[Cost Per Unit]]*Data[[#This Row],[Units]]</f>
        <v>50.4</v>
      </c>
    </row>
    <row r="185" spans="3:9" x14ac:dyDescent="0.3">
      <c r="C185" t="s">
        <v>8</v>
      </c>
      <c r="D185" t="s">
        <v>34</v>
      </c>
      <c r="E185" t="s">
        <v>16</v>
      </c>
      <c r="F185" s="4">
        <v>2009</v>
      </c>
      <c r="G185" s="5">
        <v>219</v>
      </c>
      <c r="H185" s="12">
        <f>_xlfn.XLOOKUP(Data[[#This Row],[Product]],products[Product],products[Cost per unit])</f>
        <v>8.7899999999999991</v>
      </c>
      <c r="I185" s="32">
        <f>Data[[#This Row],[Cost Per Unit]]*Data[[#This Row],[Units]]</f>
        <v>1925.0099999999998</v>
      </c>
    </row>
    <row r="186" spans="3:9" x14ac:dyDescent="0.3">
      <c r="C186" t="s">
        <v>2</v>
      </c>
      <c r="D186" t="s">
        <v>39</v>
      </c>
      <c r="E186" t="s">
        <v>22</v>
      </c>
      <c r="F186" s="4">
        <v>1568</v>
      </c>
      <c r="G186" s="5">
        <v>141</v>
      </c>
      <c r="H186" s="12">
        <f>_xlfn.XLOOKUP(Data[[#This Row],[Product]],products[Product],products[Cost per unit])</f>
        <v>9.77</v>
      </c>
      <c r="I186" s="32">
        <f>Data[[#This Row],[Cost Per Unit]]*Data[[#This Row],[Units]]</f>
        <v>1377.57</v>
      </c>
    </row>
    <row r="187" spans="3:9" x14ac:dyDescent="0.3">
      <c r="C187" t="s">
        <v>41</v>
      </c>
      <c r="D187" t="s">
        <v>37</v>
      </c>
      <c r="E187" t="s">
        <v>20</v>
      </c>
      <c r="F187" s="4">
        <v>3388</v>
      </c>
      <c r="G187" s="5">
        <v>123</v>
      </c>
      <c r="H187" s="12">
        <f>_xlfn.XLOOKUP(Data[[#This Row],[Product]],products[Product],products[Cost per unit])</f>
        <v>10.62</v>
      </c>
      <c r="I187" s="32">
        <f>Data[[#This Row],[Cost Per Unit]]*Data[[#This Row],[Units]]</f>
        <v>1306.26</v>
      </c>
    </row>
    <row r="188" spans="3:9" x14ac:dyDescent="0.3">
      <c r="C188" t="s">
        <v>40</v>
      </c>
      <c r="D188" t="s">
        <v>38</v>
      </c>
      <c r="E188" t="s">
        <v>24</v>
      </c>
      <c r="F188" s="4">
        <v>623</v>
      </c>
      <c r="G188" s="5">
        <v>51</v>
      </c>
      <c r="H188" s="12">
        <f>_xlfn.XLOOKUP(Data[[#This Row],[Product]],products[Product],products[Cost per unit])</f>
        <v>4.97</v>
      </c>
      <c r="I188" s="32">
        <f>Data[[#This Row],[Cost Per Unit]]*Data[[#This Row],[Units]]</f>
        <v>253.47</v>
      </c>
    </row>
    <row r="189" spans="3:9" x14ac:dyDescent="0.3">
      <c r="C189" t="s">
        <v>6</v>
      </c>
      <c r="D189" t="s">
        <v>36</v>
      </c>
      <c r="E189" t="s">
        <v>4</v>
      </c>
      <c r="F189" s="4">
        <v>10073</v>
      </c>
      <c r="G189" s="5">
        <v>120</v>
      </c>
      <c r="H189" s="12">
        <f>_xlfn.XLOOKUP(Data[[#This Row],[Product]],products[Product],products[Cost per unit])</f>
        <v>11.88</v>
      </c>
      <c r="I189" s="32">
        <f>Data[[#This Row],[Cost Per Unit]]*Data[[#This Row],[Units]]</f>
        <v>1425.6000000000001</v>
      </c>
    </row>
    <row r="190" spans="3:9" x14ac:dyDescent="0.3">
      <c r="C190" t="s">
        <v>8</v>
      </c>
      <c r="D190" t="s">
        <v>39</v>
      </c>
      <c r="E190" t="s">
        <v>26</v>
      </c>
      <c r="F190" s="4">
        <v>1561</v>
      </c>
      <c r="G190" s="5">
        <v>27</v>
      </c>
      <c r="H190" s="12">
        <f>_xlfn.XLOOKUP(Data[[#This Row],[Product]],products[Product],products[Cost per unit])</f>
        <v>5.6</v>
      </c>
      <c r="I190" s="32">
        <f>Data[[#This Row],[Cost Per Unit]]*Data[[#This Row],[Units]]</f>
        <v>151.19999999999999</v>
      </c>
    </row>
    <row r="191" spans="3:9" x14ac:dyDescent="0.3">
      <c r="C191" t="s">
        <v>9</v>
      </c>
      <c r="D191" t="s">
        <v>36</v>
      </c>
      <c r="E191" t="s">
        <v>27</v>
      </c>
      <c r="F191" s="4">
        <v>11522</v>
      </c>
      <c r="G191" s="5">
        <v>204</v>
      </c>
      <c r="H191" s="12">
        <f>_xlfn.XLOOKUP(Data[[#This Row],[Product]],products[Product],products[Cost per unit])</f>
        <v>16.73</v>
      </c>
      <c r="I191" s="32">
        <f>Data[[#This Row],[Cost Per Unit]]*Data[[#This Row],[Units]]</f>
        <v>3412.92</v>
      </c>
    </row>
    <row r="192" spans="3:9" x14ac:dyDescent="0.3">
      <c r="C192" t="s">
        <v>6</v>
      </c>
      <c r="D192" t="s">
        <v>38</v>
      </c>
      <c r="E192" t="s">
        <v>13</v>
      </c>
      <c r="F192" s="4">
        <v>2317</v>
      </c>
      <c r="G192" s="5">
        <v>123</v>
      </c>
      <c r="H192" s="12">
        <f>_xlfn.XLOOKUP(Data[[#This Row],[Product]],products[Product],products[Cost per unit])</f>
        <v>9.33</v>
      </c>
      <c r="I192" s="32">
        <f>Data[[#This Row],[Cost Per Unit]]*Data[[#This Row],[Units]]</f>
        <v>1147.5899999999999</v>
      </c>
    </row>
    <row r="193" spans="3:9" x14ac:dyDescent="0.3">
      <c r="C193" t="s">
        <v>10</v>
      </c>
      <c r="D193" t="s">
        <v>37</v>
      </c>
      <c r="E193" t="s">
        <v>28</v>
      </c>
      <c r="F193" s="4">
        <v>3059</v>
      </c>
      <c r="G193" s="5">
        <v>27</v>
      </c>
      <c r="H193" s="12">
        <f>_xlfn.XLOOKUP(Data[[#This Row],[Product]],products[Product],products[Cost per unit])</f>
        <v>10.38</v>
      </c>
      <c r="I193" s="32">
        <f>Data[[#This Row],[Cost Per Unit]]*Data[[#This Row],[Units]]</f>
        <v>280.26000000000005</v>
      </c>
    </row>
    <row r="194" spans="3:9" x14ac:dyDescent="0.3">
      <c r="C194" t="s">
        <v>41</v>
      </c>
      <c r="D194" t="s">
        <v>37</v>
      </c>
      <c r="E194" t="s">
        <v>26</v>
      </c>
      <c r="F194" s="4">
        <v>2324</v>
      </c>
      <c r="G194" s="5">
        <v>177</v>
      </c>
      <c r="H194" s="12">
        <f>_xlfn.XLOOKUP(Data[[#This Row],[Product]],products[Product],products[Cost per unit])</f>
        <v>5.6</v>
      </c>
      <c r="I194" s="32">
        <f>Data[[#This Row],[Cost Per Unit]]*Data[[#This Row],[Units]]</f>
        <v>991.19999999999993</v>
      </c>
    </row>
    <row r="195" spans="3:9" x14ac:dyDescent="0.3">
      <c r="C195" t="s">
        <v>3</v>
      </c>
      <c r="D195" t="s">
        <v>39</v>
      </c>
      <c r="E195" t="s">
        <v>26</v>
      </c>
      <c r="F195" s="4">
        <v>4956</v>
      </c>
      <c r="G195" s="5">
        <v>171</v>
      </c>
      <c r="H195" s="12">
        <f>_xlfn.XLOOKUP(Data[[#This Row],[Product]],products[Product],products[Cost per unit])</f>
        <v>5.6</v>
      </c>
      <c r="I195" s="32">
        <f>Data[[#This Row],[Cost Per Unit]]*Data[[#This Row],[Units]]</f>
        <v>957.59999999999991</v>
      </c>
    </row>
    <row r="196" spans="3:9" x14ac:dyDescent="0.3">
      <c r="C196" t="s">
        <v>10</v>
      </c>
      <c r="D196" t="s">
        <v>34</v>
      </c>
      <c r="E196" t="s">
        <v>19</v>
      </c>
      <c r="F196" s="4">
        <v>5355</v>
      </c>
      <c r="G196" s="5">
        <v>204</v>
      </c>
      <c r="H196" s="12">
        <f>_xlfn.XLOOKUP(Data[[#This Row],[Product]],products[Product],products[Cost per unit])</f>
        <v>7.64</v>
      </c>
      <c r="I196" s="32">
        <f>Data[[#This Row],[Cost Per Unit]]*Data[[#This Row],[Units]]</f>
        <v>1558.56</v>
      </c>
    </row>
    <row r="197" spans="3:9" x14ac:dyDescent="0.3">
      <c r="C197" t="s">
        <v>3</v>
      </c>
      <c r="D197" t="s">
        <v>34</v>
      </c>
      <c r="E197" t="s">
        <v>14</v>
      </c>
      <c r="F197" s="4">
        <v>7259</v>
      </c>
      <c r="G197" s="5">
        <v>276</v>
      </c>
      <c r="H197" s="12">
        <f>_xlfn.XLOOKUP(Data[[#This Row],[Product]],products[Product],products[Cost per unit])</f>
        <v>11.7</v>
      </c>
      <c r="I197" s="32">
        <f>Data[[#This Row],[Cost Per Unit]]*Data[[#This Row],[Units]]</f>
        <v>3229.2</v>
      </c>
    </row>
    <row r="198" spans="3:9" x14ac:dyDescent="0.3">
      <c r="C198" t="s">
        <v>8</v>
      </c>
      <c r="D198" t="s">
        <v>37</v>
      </c>
      <c r="E198" t="s">
        <v>26</v>
      </c>
      <c r="F198" s="4">
        <v>6279</v>
      </c>
      <c r="G198" s="5">
        <v>45</v>
      </c>
      <c r="H198" s="12">
        <f>_xlfn.XLOOKUP(Data[[#This Row],[Product]],products[Product],products[Cost per unit])</f>
        <v>5.6</v>
      </c>
      <c r="I198" s="32">
        <f>Data[[#This Row],[Cost Per Unit]]*Data[[#This Row],[Units]]</f>
        <v>251.99999999999997</v>
      </c>
    </row>
    <row r="199" spans="3:9" x14ac:dyDescent="0.3">
      <c r="C199" t="s">
        <v>40</v>
      </c>
      <c r="D199" t="s">
        <v>38</v>
      </c>
      <c r="E199" t="s">
        <v>29</v>
      </c>
      <c r="F199" s="4">
        <v>2541</v>
      </c>
      <c r="G199" s="5">
        <v>45</v>
      </c>
      <c r="H199" s="12">
        <f>_xlfn.XLOOKUP(Data[[#This Row],[Product]],products[Product],products[Cost per unit])</f>
        <v>7.16</v>
      </c>
      <c r="I199" s="32">
        <f>Data[[#This Row],[Cost Per Unit]]*Data[[#This Row],[Units]]</f>
        <v>322.2</v>
      </c>
    </row>
    <row r="200" spans="3:9" x14ac:dyDescent="0.3">
      <c r="C200" t="s">
        <v>6</v>
      </c>
      <c r="D200" t="s">
        <v>35</v>
      </c>
      <c r="E200" t="s">
        <v>27</v>
      </c>
      <c r="F200" s="4">
        <v>3864</v>
      </c>
      <c r="G200" s="5">
        <v>177</v>
      </c>
      <c r="H200" s="12">
        <f>_xlfn.XLOOKUP(Data[[#This Row],[Product]],products[Product],products[Cost per unit])</f>
        <v>16.73</v>
      </c>
      <c r="I200" s="32">
        <f>Data[[#This Row],[Cost Per Unit]]*Data[[#This Row],[Units]]</f>
        <v>2961.21</v>
      </c>
    </row>
    <row r="201" spans="3:9" x14ac:dyDescent="0.3">
      <c r="C201" t="s">
        <v>5</v>
      </c>
      <c r="D201" t="s">
        <v>36</v>
      </c>
      <c r="E201" t="s">
        <v>13</v>
      </c>
      <c r="F201" s="4">
        <v>6146</v>
      </c>
      <c r="G201" s="5">
        <v>63</v>
      </c>
      <c r="H201" s="12">
        <f>_xlfn.XLOOKUP(Data[[#This Row],[Product]],products[Product],products[Cost per unit])</f>
        <v>9.33</v>
      </c>
      <c r="I201" s="32">
        <f>Data[[#This Row],[Cost Per Unit]]*Data[[#This Row],[Units]]</f>
        <v>587.79</v>
      </c>
    </row>
    <row r="202" spans="3:9" x14ac:dyDescent="0.3">
      <c r="C202" t="s">
        <v>9</v>
      </c>
      <c r="D202" t="s">
        <v>39</v>
      </c>
      <c r="E202" t="s">
        <v>18</v>
      </c>
      <c r="F202" s="4">
        <v>2639</v>
      </c>
      <c r="G202" s="5">
        <v>204</v>
      </c>
      <c r="H202" s="12">
        <f>_xlfn.XLOOKUP(Data[[#This Row],[Product]],products[Product],products[Cost per unit])</f>
        <v>6.47</v>
      </c>
      <c r="I202" s="32">
        <f>Data[[#This Row],[Cost Per Unit]]*Data[[#This Row],[Units]]</f>
        <v>1319.8799999999999</v>
      </c>
    </row>
    <row r="203" spans="3:9" x14ac:dyDescent="0.3">
      <c r="C203" t="s">
        <v>8</v>
      </c>
      <c r="D203" t="s">
        <v>37</v>
      </c>
      <c r="E203" t="s">
        <v>22</v>
      </c>
      <c r="F203" s="4">
        <v>1890</v>
      </c>
      <c r="G203" s="5">
        <v>195</v>
      </c>
      <c r="H203" s="12">
        <f>_xlfn.XLOOKUP(Data[[#This Row],[Product]],products[Product],products[Cost per unit])</f>
        <v>9.77</v>
      </c>
      <c r="I203" s="32">
        <f>Data[[#This Row],[Cost Per Unit]]*Data[[#This Row],[Units]]</f>
        <v>1905.1499999999999</v>
      </c>
    </row>
    <row r="204" spans="3:9" x14ac:dyDescent="0.3">
      <c r="C204" t="s">
        <v>7</v>
      </c>
      <c r="D204" t="s">
        <v>34</v>
      </c>
      <c r="E204" t="s">
        <v>14</v>
      </c>
      <c r="F204" s="4">
        <v>1932</v>
      </c>
      <c r="G204" s="5">
        <v>369</v>
      </c>
      <c r="H204" s="12">
        <f>_xlfn.XLOOKUP(Data[[#This Row],[Product]],products[Product],products[Cost per unit])</f>
        <v>11.7</v>
      </c>
      <c r="I204" s="32">
        <f>Data[[#This Row],[Cost Per Unit]]*Data[[#This Row],[Units]]</f>
        <v>4317.3</v>
      </c>
    </row>
    <row r="205" spans="3:9" x14ac:dyDescent="0.3">
      <c r="C205" t="s">
        <v>3</v>
      </c>
      <c r="D205" t="s">
        <v>34</v>
      </c>
      <c r="E205" t="s">
        <v>25</v>
      </c>
      <c r="F205" s="4">
        <v>6300</v>
      </c>
      <c r="G205" s="5">
        <v>42</v>
      </c>
      <c r="H205" s="12">
        <f>_xlfn.XLOOKUP(Data[[#This Row],[Product]],products[Product],products[Cost per unit])</f>
        <v>13.15</v>
      </c>
      <c r="I205" s="32">
        <f>Data[[#This Row],[Cost Per Unit]]*Data[[#This Row],[Units]]</f>
        <v>552.30000000000007</v>
      </c>
    </row>
    <row r="206" spans="3:9" x14ac:dyDescent="0.3">
      <c r="C206" t="s">
        <v>6</v>
      </c>
      <c r="D206" t="s">
        <v>37</v>
      </c>
      <c r="E206" t="s">
        <v>30</v>
      </c>
      <c r="F206" s="4">
        <v>560</v>
      </c>
      <c r="G206" s="5">
        <v>81</v>
      </c>
      <c r="H206" s="12">
        <f>_xlfn.XLOOKUP(Data[[#This Row],[Product]],products[Product],products[Cost per unit])</f>
        <v>14.49</v>
      </c>
      <c r="I206" s="32">
        <f>Data[[#This Row],[Cost Per Unit]]*Data[[#This Row],[Units]]</f>
        <v>1173.69</v>
      </c>
    </row>
    <row r="207" spans="3:9" x14ac:dyDescent="0.3">
      <c r="C207" t="s">
        <v>9</v>
      </c>
      <c r="D207" t="s">
        <v>37</v>
      </c>
      <c r="E207" t="s">
        <v>26</v>
      </c>
      <c r="F207" s="4">
        <v>2856</v>
      </c>
      <c r="G207" s="5">
        <v>246</v>
      </c>
      <c r="H207" s="12">
        <f>_xlfn.XLOOKUP(Data[[#This Row],[Product]],products[Product],products[Cost per unit])</f>
        <v>5.6</v>
      </c>
      <c r="I207" s="32">
        <f>Data[[#This Row],[Cost Per Unit]]*Data[[#This Row],[Units]]</f>
        <v>1377.6</v>
      </c>
    </row>
    <row r="208" spans="3:9" x14ac:dyDescent="0.3">
      <c r="C208" t="s">
        <v>9</v>
      </c>
      <c r="D208" t="s">
        <v>34</v>
      </c>
      <c r="E208" t="s">
        <v>17</v>
      </c>
      <c r="F208" s="4">
        <v>707</v>
      </c>
      <c r="G208" s="5">
        <v>174</v>
      </c>
      <c r="H208" s="12">
        <f>_xlfn.XLOOKUP(Data[[#This Row],[Product]],products[Product],products[Cost per unit])</f>
        <v>3.11</v>
      </c>
      <c r="I208" s="32">
        <f>Data[[#This Row],[Cost Per Unit]]*Data[[#This Row],[Units]]</f>
        <v>541.14</v>
      </c>
    </row>
    <row r="209" spans="3:9" x14ac:dyDescent="0.3">
      <c r="C209" t="s">
        <v>8</v>
      </c>
      <c r="D209" t="s">
        <v>35</v>
      </c>
      <c r="E209" t="s">
        <v>30</v>
      </c>
      <c r="F209" s="4">
        <v>3598</v>
      </c>
      <c r="G209" s="5">
        <v>81</v>
      </c>
      <c r="H209" s="12">
        <f>_xlfn.XLOOKUP(Data[[#This Row],[Product]],products[Product],products[Cost per unit])</f>
        <v>14.49</v>
      </c>
      <c r="I209" s="32">
        <f>Data[[#This Row],[Cost Per Unit]]*Data[[#This Row],[Units]]</f>
        <v>1173.69</v>
      </c>
    </row>
    <row r="210" spans="3:9" x14ac:dyDescent="0.3">
      <c r="C210" t="s">
        <v>40</v>
      </c>
      <c r="D210" t="s">
        <v>35</v>
      </c>
      <c r="E210" t="s">
        <v>22</v>
      </c>
      <c r="F210" s="4">
        <v>6853</v>
      </c>
      <c r="G210" s="5">
        <v>372</v>
      </c>
      <c r="H210" s="12">
        <f>_xlfn.XLOOKUP(Data[[#This Row],[Product]],products[Product],products[Cost per unit])</f>
        <v>9.77</v>
      </c>
      <c r="I210" s="32">
        <f>Data[[#This Row],[Cost Per Unit]]*Data[[#This Row],[Units]]</f>
        <v>3634.44</v>
      </c>
    </row>
    <row r="211" spans="3:9" x14ac:dyDescent="0.3">
      <c r="C211" t="s">
        <v>40</v>
      </c>
      <c r="D211" t="s">
        <v>35</v>
      </c>
      <c r="E211" t="s">
        <v>16</v>
      </c>
      <c r="F211" s="4">
        <v>4725</v>
      </c>
      <c r="G211" s="5">
        <v>174</v>
      </c>
      <c r="H211" s="12">
        <f>_xlfn.XLOOKUP(Data[[#This Row],[Product]],products[Product],products[Cost per unit])</f>
        <v>8.7899999999999991</v>
      </c>
      <c r="I211" s="32">
        <f>Data[[#This Row],[Cost Per Unit]]*Data[[#This Row],[Units]]</f>
        <v>1529.4599999999998</v>
      </c>
    </row>
    <row r="212" spans="3:9" x14ac:dyDescent="0.3">
      <c r="C212" t="s">
        <v>41</v>
      </c>
      <c r="D212" t="s">
        <v>36</v>
      </c>
      <c r="E212" t="s">
        <v>32</v>
      </c>
      <c r="F212" s="4">
        <v>10304</v>
      </c>
      <c r="G212" s="5">
        <v>84</v>
      </c>
      <c r="H212" s="12">
        <f>_xlfn.XLOOKUP(Data[[#This Row],[Product]],products[Product],products[Cost per unit])</f>
        <v>8.65</v>
      </c>
      <c r="I212" s="32">
        <f>Data[[#This Row],[Cost Per Unit]]*Data[[#This Row],[Units]]</f>
        <v>726.6</v>
      </c>
    </row>
    <row r="213" spans="3:9" x14ac:dyDescent="0.3">
      <c r="C213" t="s">
        <v>41</v>
      </c>
      <c r="D213" t="s">
        <v>34</v>
      </c>
      <c r="E213" t="s">
        <v>16</v>
      </c>
      <c r="F213" s="4">
        <v>1274</v>
      </c>
      <c r="G213" s="5">
        <v>225</v>
      </c>
      <c r="H213" s="12">
        <f>_xlfn.XLOOKUP(Data[[#This Row],[Product]],products[Product],products[Cost per unit])</f>
        <v>8.7899999999999991</v>
      </c>
      <c r="I213" s="32">
        <f>Data[[#This Row],[Cost Per Unit]]*Data[[#This Row],[Units]]</f>
        <v>1977.7499999999998</v>
      </c>
    </row>
    <row r="214" spans="3:9" x14ac:dyDescent="0.3">
      <c r="C214" t="s">
        <v>5</v>
      </c>
      <c r="D214" t="s">
        <v>36</v>
      </c>
      <c r="E214" t="s">
        <v>30</v>
      </c>
      <c r="F214" s="4">
        <v>1526</v>
      </c>
      <c r="G214" s="5">
        <v>105</v>
      </c>
      <c r="H214" s="12">
        <f>_xlfn.XLOOKUP(Data[[#This Row],[Product]],products[Product],products[Cost per unit])</f>
        <v>14.49</v>
      </c>
      <c r="I214" s="32">
        <f>Data[[#This Row],[Cost Per Unit]]*Data[[#This Row],[Units]]</f>
        <v>1521.45</v>
      </c>
    </row>
    <row r="215" spans="3:9" x14ac:dyDescent="0.3">
      <c r="C215" t="s">
        <v>40</v>
      </c>
      <c r="D215" t="s">
        <v>39</v>
      </c>
      <c r="E215" t="s">
        <v>28</v>
      </c>
      <c r="F215" s="4">
        <v>3101</v>
      </c>
      <c r="G215" s="5">
        <v>225</v>
      </c>
      <c r="H215" s="12">
        <f>_xlfn.XLOOKUP(Data[[#This Row],[Product]],products[Product],products[Cost per unit])</f>
        <v>10.38</v>
      </c>
      <c r="I215" s="32">
        <f>Data[[#This Row],[Cost Per Unit]]*Data[[#This Row],[Units]]</f>
        <v>2335.5</v>
      </c>
    </row>
    <row r="216" spans="3:9" x14ac:dyDescent="0.3">
      <c r="C216" t="s">
        <v>2</v>
      </c>
      <c r="D216" t="s">
        <v>37</v>
      </c>
      <c r="E216" t="s">
        <v>14</v>
      </c>
      <c r="F216" s="4">
        <v>1057</v>
      </c>
      <c r="G216" s="5">
        <v>54</v>
      </c>
      <c r="H216" s="12">
        <f>_xlfn.XLOOKUP(Data[[#This Row],[Product]],products[Product],products[Cost per unit])</f>
        <v>11.7</v>
      </c>
      <c r="I216" s="32">
        <f>Data[[#This Row],[Cost Per Unit]]*Data[[#This Row],[Units]]</f>
        <v>631.79999999999995</v>
      </c>
    </row>
    <row r="217" spans="3:9" x14ac:dyDescent="0.3">
      <c r="C217" t="s">
        <v>7</v>
      </c>
      <c r="D217" t="s">
        <v>37</v>
      </c>
      <c r="E217" t="s">
        <v>26</v>
      </c>
      <c r="F217" s="4">
        <v>5306</v>
      </c>
      <c r="G217" s="5">
        <v>0</v>
      </c>
      <c r="H217" s="12">
        <f>_xlfn.XLOOKUP(Data[[#This Row],[Product]],products[Product],products[Cost per unit])</f>
        <v>5.6</v>
      </c>
      <c r="I217" s="32">
        <f>Data[[#This Row],[Cost Per Unit]]*Data[[#This Row],[Units]]</f>
        <v>0</v>
      </c>
    </row>
    <row r="218" spans="3:9" x14ac:dyDescent="0.3">
      <c r="C218" t="s">
        <v>5</v>
      </c>
      <c r="D218" t="s">
        <v>39</v>
      </c>
      <c r="E218" t="s">
        <v>24</v>
      </c>
      <c r="F218" s="4">
        <v>4018</v>
      </c>
      <c r="G218" s="5">
        <v>171</v>
      </c>
      <c r="H218" s="12">
        <f>_xlfn.XLOOKUP(Data[[#This Row],[Product]],products[Product],products[Cost per unit])</f>
        <v>4.97</v>
      </c>
      <c r="I218" s="32">
        <f>Data[[#This Row],[Cost Per Unit]]*Data[[#This Row],[Units]]</f>
        <v>849.87</v>
      </c>
    </row>
    <row r="219" spans="3:9" x14ac:dyDescent="0.3">
      <c r="C219" t="s">
        <v>9</v>
      </c>
      <c r="D219" t="s">
        <v>34</v>
      </c>
      <c r="E219" t="s">
        <v>16</v>
      </c>
      <c r="F219" s="4">
        <v>938</v>
      </c>
      <c r="G219" s="5">
        <v>189</v>
      </c>
      <c r="H219" s="12">
        <f>_xlfn.XLOOKUP(Data[[#This Row],[Product]],products[Product],products[Cost per unit])</f>
        <v>8.7899999999999991</v>
      </c>
      <c r="I219" s="32">
        <f>Data[[#This Row],[Cost Per Unit]]*Data[[#This Row],[Units]]</f>
        <v>1661.31</v>
      </c>
    </row>
    <row r="220" spans="3:9" x14ac:dyDescent="0.3">
      <c r="C220" t="s">
        <v>7</v>
      </c>
      <c r="D220" t="s">
        <v>38</v>
      </c>
      <c r="E220" t="s">
        <v>18</v>
      </c>
      <c r="F220" s="4">
        <v>1778</v>
      </c>
      <c r="G220" s="5">
        <v>270</v>
      </c>
      <c r="H220" s="12">
        <f>_xlfn.XLOOKUP(Data[[#This Row],[Product]],products[Product],products[Cost per unit])</f>
        <v>6.47</v>
      </c>
      <c r="I220" s="32">
        <f>Data[[#This Row],[Cost Per Unit]]*Data[[#This Row],[Units]]</f>
        <v>1746.8999999999999</v>
      </c>
    </row>
    <row r="221" spans="3:9" x14ac:dyDescent="0.3">
      <c r="C221" t="s">
        <v>6</v>
      </c>
      <c r="D221" t="s">
        <v>39</v>
      </c>
      <c r="E221" t="s">
        <v>30</v>
      </c>
      <c r="F221" s="4">
        <v>1638</v>
      </c>
      <c r="G221" s="5">
        <v>63</v>
      </c>
      <c r="H221" s="12">
        <f>_xlfn.XLOOKUP(Data[[#This Row],[Product]],products[Product],products[Cost per unit])</f>
        <v>14.49</v>
      </c>
      <c r="I221" s="32">
        <f>Data[[#This Row],[Cost Per Unit]]*Data[[#This Row],[Units]]</f>
        <v>912.87</v>
      </c>
    </row>
    <row r="222" spans="3:9" x14ac:dyDescent="0.3">
      <c r="C222" t="s">
        <v>41</v>
      </c>
      <c r="D222" t="s">
        <v>38</v>
      </c>
      <c r="E222" t="s">
        <v>25</v>
      </c>
      <c r="F222" s="4">
        <v>154</v>
      </c>
      <c r="G222" s="5">
        <v>21</v>
      </c>
      <c r="H222" s="12">
        <f>_xlfn.XLOOKUP(Data[[#This Row],[Product]],products[Product],products[Cost per unit])</f>
        <v>13.15</v>
      </c>
      <c r="I222" s="32">
        <f>Data[[#This Row],[Cost Per Unit]]*Data[[#This Row],[Units]]</f>
        <v>276.15000000000003</v>
      </c>
    </row>
    <row r="223" spans="3:9" x14ac:dyDescent="0.3">
      <c r="C223" t="s">
        <v>7</v>
      </c>
      <c r="D223" t="s">
        <v>37</v>
      </c>
      <c r="E223" t="s">
        <v>22</v>
      </c>
      <c r="F223" s="4">
        <v>9835</v>
      </c>
      <c r="G223" s="5">
        <v>207</v>
      </c>
      <c r="H223" s="12">
        <f>_xlfn.XLOOKUP(Data[[#This Row],[Product]],products[Product],products[Cost per unit])</f>
        <v>9.77</v>
      </c>
      <c r="I223" s="32">
        <f>Data[[#This Row],[Cost Per Unit]]*Data[[#This Row],[Units]]</f>
        <v>2022.3899999999999</v>
      </c>
    </row>
    <row r="224" spans="3:9" x14ac:dyDescent="0.3">
      <c r="C224" t="s">
        <v>9</v>
      </c>
      <c r="D224" t="s">
        <v>37</v>
      </c>
      <c r="E224" t="s">
        <v>20</v>
      </c>
      <c r="F224" s="4">
        <v>7273</v>
      </c>
      <c r="G224" s="5">
        <v>96</v>
      </c>
      <c r="H224" s="12">
        <f>_xlfn.XLOOKUP(Data[[#This Row],[Product]],products[Product],products[Cost per unit])</f>
        <v>10.62</v>
      </c>
      <c r="I224" s="32">
        <f>Data[[#This Row],[Cost Per Unit]]*Data[[#This Row],[Units]]</f>
        <v>1019.52</v>
      </c>
    </row>
    <row r="225" spans="3:9" x14ac:dyDescent="0.3">
      <c r="C225" t="s">
        <v>5</v>
      </c>
      <c r="D225" t="s">
        <v>39</v>
      </c>
      <c r="E225" t="s">
        <v>22</v>
      </c>
      <c r="F225" s="4">
        <v>6909</v>
      </c>
      <c r="G225" s="5">
        <v>81</v>
      </c>
      <c r="H225" s="12">
        <f>_xlfn.XLOOKUP(Data[[#This Row],[Product]],products[Product],products[Cost per unit])</f>
        <v>9.77</v>
      </c>
      <c r="I225" s="32">
        <f>Data[[#This Row],[Cost Per Unit]]*Data[[#This Row],[Units]]</f>
        <v>791.37</v>
      </c>
    </row>
    <row r="226" spans="3:9" x14ac:dyDescent="0.3">
      <c r="C226" t="s">
        <v>9</v>
      </c>
      <c r="D226" t="s">
        <v>39</v>
      </c>
      <c r="E226" t="s">
        <v>24</v>
      </c>
      <c r="F226" s="4">
        <v>3920</v>
      </c>
      <c r="G226" s="5">
        <v>306</v>
      </c>
      <c r="H226" s="12">
        <f>_xlfn.XLOOKUP(Data[[#This Row],[Product]],products[Product],products[Cost per unit])</f>
        <v>4.97</v>
      </c>
      <c r="I226" s="32">
        <f>Data[[#This Row],[Cost Per Unit]]*Data[[#This Row],[Units]]</f>
        <v>1520.82</v>
      </c>
    </row>
    <row r="227" spans="3:9" x14ac:dyDescent="0.3">
      <c r="C227" t="s">
        <v>10</v>
      </c>
      <c r="D227" t="s">
        <v>39</v>
      </c>
      <c r="E227" t="s">
        <v>21</v>
      </c>
      <c r="F227" s="4">
        <v>4858</v>
      </c>
      <c r="G227" s="5">
        <v>279</v>
      </c>
      <c r="H227" s="12">
        <f>_xlfn.XLOOKUP(Data[[#This Row],[Product]],products[Product],products[Cost per unit])</f>
        <v>9</v>
      </c>
      <c r="I227" s="32">
        <f>Data[[#This Row],[Cost Per Unit]]*Data[[#This Row],[Units]]</f>
        <v>2511</v>
      </c>
    </row>
    <row r="228" spans="3:9" x14ac:dyDescent="0.3">
      <c r="C228" t="s">
        <v>2</v>
      </c>
      <c r="D228" t="s">
        <v>38</v>
      </c>
      <c r="E228" t="s">
        <v>4</v>
      </c>
      <c r="F228" s="4">
        <v>3549</v>
      </c>
      <c r="G228" s="5">
        <v>3</v>
      </c>
      <c r="H228" s="12">
        <f>_xlfn.XLOOKUP(Data[[#This Row],[Product]],products[Product],products[Cost per unit])</f>
        <v>11.88</v>
      </c>
      <c r="I228" s="32">
        <f>Data[[#This Row],[Cost Per Unit]]*Data[[#This Row],[Units]]</f>
        <v>35.64</v>
      </c>
    </row>
    <row r="229" spans="3:9" x14ac:dyDescent="0.3">
      <c r="C229" t="s">
        <v>7</v>
      </c>
      <c r="D229" t="s">
        <v>39</v>
      </c>
      <c r="E229" t="s">
        <v>27</v>
      </c>
      <c r="F229" s="4">
        <v>966</v>
      </c>
      <c r="G229" s="5">
        <v>198</v>
      </c>
      <c r="H229" s="12">
        <f>_xlfn.XLOOKUP(Data[[#This Row],[Product]],products[Product],products[Cost per unit])</f>
        <v>16.73</v>
      </c>
      <c r="I229" s="32">
        <f>Data[[#This Row],[Cost Per Unit]]*Data[[#This Row],[Units]]</f>
        <v>3312.54</v>
      </c>
    </row>
    <row r="230" spans="3:9" x14ac:dyDescent="0.3">
      <c r="C230" t="s">
        <v>5</v>
      </c>
      <c r="D230" t="s">
        <v>39</v>
      </c>
      <c r="E230" t="s">
        <v>18</v>
      </c>
      <c r="F230" s="4">
        <v>385</v>
      </c>
      <c r="G230" s="5">
        <v>249</v>
      </c>
      <c r="H230" s="12">
        <f>_xlfn.XLOOKUP(Data[[#This Row],[Product]],products[Product],products[Cost per unit])</f>
        <v>6.47</v>
      </c>
      <c r="I230" s="32">
        <f>Data[[#This Row],[Cost Per Unit]]*Data[[#This Row],[Units]]</f>
        <v>1611.03</v>
      </c>
    </row>
    <row r="231" spans="3:9" x14ac:dyDescent="0.3">
      <c r="C231" t="s">
        <v>6</v>
      </c>
      <c r="D231" t="s">
        <v>34</v>
      </c>
      <c r="E231" t="s">
        <v>16</v>
      </c>
      <c r="F231" s="4">
        <v>2219</v>
      </c>
      <c r="G231" s="5">
        <v>75</v>
      </c>
      <c r="H231" s="12">
        <f>_xlfn.XLOOKUP(Data[[#This Row],[Product]],products[Product],products[Cost per unit])</f>
        <v>8.7899999999999991</v>
      </c>
      <c r="I231" s="32">
        <f>Data[[#This Row],[Cost Per Unit]]*Data[[#This Row],[Units]]</f>
        <v>659.24999999999989</v>
      </c>
    </row>
    <row r="232" spans="3:9" x14ac:dyDescent="0.3">
      <c r="C232" t="s">
        <v>9</v>
      </c>
      <c r="D232" t="s">
        <v>36</v>
      </c>
      <c r="E232" t="s">
        <v>32</v>
      </c>
      <c r="F232" s="4">
        <v>2954</v>
      </c>
      <c r="G232" s="5">
        <v>189</v>
      </c>
      <c r="H232" s="12">
        <f>_xlfn.XLOOKUP(Data[[#This Row],[Product]],products[Product],products[Cost per unit])</f>
        <v>8.65</v>
      </c>
      <c r="I232" s="32">
        <f>Data[[#This Row],[Cost Per Unit]]*Data[[#This Row],[Units]]</f>
        <v>1634.8500000000001</v>
      </c>
    </row>
    <row r="233" spans="3:9" x14ac:dyDescent="0.3">
      <c r="C233" t="s">
        <v>7</v>
      </c>
      <c r="D233" t="s">
        <v>36</v>
      </c>
      <c r="E233" t="s">
        <v>32</v>
      </c>
      <c r="F233" s="4">
        <v>280</v>
      </c>
      <c r="G233" s="5">
        <v>87</v>
      </c>
      <c r="H233" s="12">
        <f>_xlfn.XLOOKUP(Data[[#This Row],[Product]],products[Product],products[Cost per unit])</f>
        <v>8.65</v>
      </c>
      <c r="I233" s="32">
        <f>Data[[#This Row],[Cost Per Unit]]*Data[[#This Row],[Units]]</f>
        <v>752.55000000000007</v>
      </c>
    </row>
    <row r="234" spans="3:9" x14ac:dyDescent="0.3">
      <c r="C234" t="s">
        <v>41</v>
      </c>
      <c r="D234" t="s">
        <v>36</v>
      </c>
      <c r="E234" t="s">
        <v>30</v>
      </c>
      <c r="F234" s="4">
        <v>6118</v>
      </c>
      <c r="G234" s="5">
        <v>174</v>
      </c>
      <c r="H234" s="12">
        <f>_xlfn.XLOOKUP(Data[[#This Row],[Product]],products[Product],products[Cost per unit])</f>
        <v>14.49</v>
      </c>
      <c r="I234" s="32">
        <f>Data[[#This Row],[Cost Per Unit]]*Data[[#This Row],[Units]]</f>
        <v>2521.2600000000002</v>
      </c>
    </row>
    <row r="235" spans="3:9" x14ac:dyDescent="0.3">
      <c r="C235" t="s">
        <v>2</v>
      </c>
      <c r="D235" t="s">
        <v>39</v>
      </c>
      <c r="E235" t="s">
        <v>15</v>
      </c>
      <c r="F235" s="4">
        <v>4802</v>
      </c>
      <c r="G235" s="5">
        <v>36</v>
      </c>
      <c r="H235" s="12">
        <f>_xlfn.XLOOKUP(Data[[#This Row],[Product]],products[Product],products[Cost per unit])</f>
        <v>11.73</v>
      </c>
      <c r="I235" s="32">
        <f>Data[[#This Row],[Cost Per Unit]]*Data[[#This Row],[Units]]</f>
        <v>422.28000000000003</v>
      </c>
    </row>
    <row r="236" spans="3:9" x14ac:dyDescent="0.3">
      <c r="C236" t="s">
        <v>9</v>
      </c>
      <c r="D236" t="s">
        <v>38</v>
      </c>
      <c r="E236" t="s">
        <v>24</v>
      </c>
      <c r="F236" s="4">
        <v>4137</v>
      </c>
      <c r="G236" s="5">
        <v>60</v>
      </c>
      <c r="H236" s="12">
        <f>_xlfn.XLOOKUP(Data[[#This Row],[Product]],products[Product],products[Cost per unit])</f>
        <v>4.97</v>
      </c>
      <c r="I236" s="32">
        <f>Data[[#This Row],[Cost Per Unit]]*Data[[#This Row],[Units]]</f>
        <v>298.2</v>
      </c>
    </row>
    <row r="237" spans="3:9" x14ac:dyDescent="0.3">
      <c r="C237" t="s">
        <v>3</v>
      </c>
      <c r="D237" t="s">
        <v>35</v>
      </c>
      <c r="E237" t="s">
        <v>23</v>
      </c>
      <c r="F237" s="4">
        <v>2023</v>
      </c>
      <c r="G237" s="5">
        <v>78</v>
      </c>
      <c r="H237" s="12">
        <f>_xlfn.XLOOKUP(Data[[#This Row],[Product]],products[Product],products[Cost per unit])</f>
        <v>6.49</v>
      </c>
      <c r="I237" s="32">
        <f>Data[[#This Row],[Cost Per Unit]]*Data[[#This Row],[Units]]</f>
        <v>506.22</v>
      </c>
    </row>
    <row r="238" spans="3:9" x14ac:dyDescent="0.3">
      <c r="C238" t="s">
        <v>9</v>
      </c>
      <c r="D238" t="s">
        <v>36</v>
      </c>
      <c r="E238" t="s">
        <v>30</v>
      </c>
      <c r="F238" s="4">
        <v>9051</v>
      </c>
      <c r="G238" s="5">
        <v>57</v>
      </c>
      <c r="H238" s="12">
        <f>_xlfn.XLOOKUP(Data[[#This Row],[Product]],products[Product],products[Cost per unit])</f>
        <v>14.49</v>
      </c>
      <c r="I238" s="32">
        <f>Data[[#This Row],[Cost Per Unit]]*Data[[#This Row],[Units]]</f>
        <v>825.93000000000006</v>
      </c>
    </row>
    <row r="239" spans="3:9" x14ac:dyDescent="0.3">
      <c r="C239" t="s">
        <v>9</v>
      </c>
      <c r="D239" t="s">
        <v>37</v>
      </c>
      <c r="E239" t="s">
        <v>28</v>
      </c>
      <c r="F239" s="4">
        <v>2919</v>
      </c>
      <c r="G239" s="5">
        <v>45</v>
      </c>
      <c r="H239" s="12">
        <f>_xlfn.XLOOKUP(Data[[#This Row],[Product]],products[Product],products[Cost per unit])</f>
        <v>10.38</v>
      </c>
      <c r="I239" s="32">
        <f>Data[[#This Row],[Cost Per Unit]]*Data[[#This Row],[Units]]</f>
        <v>467.1</v>
      </c>
    </row>
    <row r="240" spans="3:9" x14ac:dyDescent="0.3">
      <c r="C240" t="s">
        <v>41</v>
      </c>
      <c r="D240" t="s">
        <v>38</v>
      </c>
      <c r="E240" t="s">
        <v>22</v>
      </c>
      <c r="F240" s="4">
        <v>5915</v>
      </c>
      <c r="G240" s="5">
        <v>3</v>
      </c>
      <c r="H240" s="12">
        <f>_xlfn.XLOOKUP(Data[[#This Row],[Product]],products[Product],products[Cost per unit])</f>
        <v>9.77</v>
      </c>
      <c r="I240" s="32">
        <f>Data[[#This Row],[Cost Per Unit]]*Data[[#This Row],[Units]]</f>
        <v>29.31</v>
      </c>
    </row>
    <row r="241" spans="3:9" x14ac:dyDescent="0.3">
      <c r="C241" t="s">
        <v>10</v>
      </c>
      <c r="D241" t="s">
        <v>35</v>
      </c>
      <c r="E241" t="s">
        <v>15</v>
      </c>
      <c r="F241" s="4">
        <v>2562</v>
      </c>
      <c r="G241" s="5">
        <v>6</v>
      </c>
      <c r="H241" s="12">
        <f>_xlfn.XLOOKUP(Data[[#This Row],[Product]],products[Product],products[Cost per unit])</f>
        <v>11.73</v>
      </c>
      <c r="I241" s="32">
        <f>Data[[#This Row],[Cost Per Unit]]*Data[[#This Row],[Units]]</f>
        <v>70.38</v>
      </c>
    </row>
    <row r="242" spans="3:9" x14ac:dyDescent="0.3">
      <c r="C242" t="s">
        <v>5</v>
      </c>
      <c r="D242" t="s">
        <v>37</v>
      </c>
      <c r="E242" t="s">
        <v>25</v>
      </c>
      <c r="F242" s="4">
        <v>8813</v>
      </c>
      <c r="G242" s="5">
        <v>21</v>
      </c>
      <c r="H242" s="12">
        <f>_xlfn.XLOOKUP(Data[[#This Row],[Product]],products[Product],products[Cost per unit])</f>
        <v>13.15</v>
      </c>
      <c r="I242" s="32">
        <f>Data[[#This Row],[Cost Per Unit]]*Data[[#This Row],[Units]]</f>
        <v>276.15000000000003</v>
      </c>
    </row>
    <row r="243" spans="3:9" x14ac:dyDescent="0.3">
      <c r="C243" t="s">
        <v>5</v>
      </c>
      <c r="D243" t="s">
        <v>36</v>
      </c>
      <c r="E243" t="s">
        <v>18</v>
      </c>
      <c r="F243" s="4">
        <v>6111</v>
      </c>
      <c r="G243" s="5">
        <v>3</v>
      </c>
      <c r="H243" s="12">
        <f>_xlfn.XLOOKUP(Data[[#This Row],[Product]],products[Product],products[Cost per unit])</f>
        <v>6.47</v>
      </c>
      <c r="I243" s="32">
        <f>Data[[#This Row],[Cost Per Unit]]*Data[[#This Row],[Units]]</f>
        <v>19.41</v>
      </c>
    </row>
    <row r="244" spans="3:9" x14ac:dyDescent="0.3">
      <c r="C244" t="s">
        <v>8</v>
      </c>
      <c r="D244" t="s">
        <v>34</v>
      </c>
      <c r="E244" t="s">
        <v>31</v>
      </c>
      <c r="F244" s="4">
        <v>3507</v>
      </c>
      <c r="G244" s="5">
        <v>288</v>
      </c>
      <c r="H244" s="12">
        <f>_xlfn.XLOOKUP(Data[[#This Row],[Product]],products[Product],products[Cost per unit])</f>
        <v>5.79</v>
      </c>
      <c r="I244" s="32">
        <f>Data[[#This Row],[Cost Per Unit]]*Data[[#This Row],[Units]]</f>
        <v>1667.52</v>
      </c>
    </row>
    <row r="245" spans="3:9" x14ac:dyDescent="0.3">
      <c r="C245" t="s">
        <v>6</v>
      </c>
      <c r="D245" t="s">
        <v>36</v>
      </c>
      <c r="E245" t="s">
        <v>13</v>
      </c>
      <c r="F245" s="4">
        <v>4319</v>
      </c>
      <c r="G245" s="5">
        <v>30</v>
      </c>
      <c r="H245" s="12">
        <f>_xlfn.XLOOKUP(Data[[#This Row],[Product]],products[Product],products[Cost per unit])</f>
        <v>9.33</v>
      </c>
      <c r="I245" s="32">
        <f>Data[[#This Row],[Cost Per Unit]]*Data[[#This Row],[Units]]</f>
        <v>279.89999999999998</v>
      </c>
    </row>
    <row r="246" spans="3:9" x14ac:dyDescent="0.3">
      <c r="C246" t="s">
        <v>40</v>
      </c>
      <c r="D246" t="s">
        <v>38</v>
      </c>
      <c r="E246" t="s">
        <v>26</v>
      </c>
      <c r="F246" s="4">
        <v>609</v>
      </c>
      <c r="G246" s="5">
        <v>87</v>
      </c>
      <c r="H246" s="12">
        <f>_xlfn.XLOOKUP(Data[[#This Row],[Product]],products[Product],products[Cost per unit])</f>
        <v>5.6</v>
      </c>
      <c r="I246" s="32">
        <f>Data[[#This Row],[Cost Per Unit]]*Data[[#This Row],[Units]]</f>
        <v>487.2</v>
      </c>
    </row>
    <row r="247" spans="3:9" x14ac:dyDescent="0.3">
      <c r="C247" t="s">
        <v>40</v>
      </c>
      <c r="D247" t="s">
        <v>39</v>
      </c>
      <c r="E247" t="s">
        <v>27</v>
      </c>
      <c r="F247" s="4">
        <v>6370</v>
      </c>
      <c r="G247" s="5">
        <v>30</v>
      </c>
      <c r="H247" s="12">
        <f>_xlfn.XLOOKUP(Data[[#This Row],[Product]],products[Product],products[Cost per unit])</f>
        <v>16.73</v>
      </c>
      <c r="I247" s="32">
        <f>Data[[#This Row],[Cost Per Unit]]*Data[[#This Row],[Units]]</f>
        <v>501.90000000000003</v>
      </c>
    </row>
    <row r="248" spans="3:9" x14ac:dyDescent="0.3">
      <c r="C248" t="s">
        <v>5</v>
      </c>
      <c r="D248" t="s">
        <v>38</v>
      </c>
      <c r="E248" t="s">
        <v>19</v>
      </c>
      <c r="F248" s="4">
        <v>5474</v>
      </c>
      <c r="G248" s="5">
        <v>168</v>
      </c>
      <c r="H248" s="12">
        <f>_xlfn.XLOOKUP(Data[[#This Row],[Product]],products[Product],products[Cost per unit])</f>
        <v>7.64</v>
      </c>
      <c r="I248" s="32">
        <f>Data[[#This Row],[Cost Per Unit]]*Data[[#This Row],[Units]]</f>
        <v>1283.52</v>
      </c>
    </row>
    <row r="249" spans="3:9" x14ac:dyDescent="0.3">
      <c r="C249" t="s">
        <v>40</v>
      </c>
      <c r="D249" t="s">
        <v>36</v>
      </c>
      <c r="E249" t="s">
        <v>27</v>
      </c>
      <c r="F249" s="4">
        <v>3164</v>
      </c>
      <c r="G249" s="5">
        <v>306</v>
      </c>
      <c r="H249" s="12">
        <f>_xlfn.XLOOKUP(Data[[#This Row],[Product]],products[Product],products[Cost per unit])</f>
        <v>16.73</v>
      </c>
      <c r="I249" s="32">
        <f>Data[[#This Row],[Cost Per Unit]]*Data[[#This Row],[Units]]</f>
        <v>5119.38</v>
      </c>
    </row>
    <row r="250" spans="3:9" x14ac:dyDescent="0.3">
      <c r="C250" t="s">
        <v>6</v>
      </c>
      <c r="D250" t="s">
        <v>35</v>
      </c>
      <c r="E250" t="s">
        <v>4</v>
      </c>
      <c r="F250" s="4">
        <v>1302</v>
      </c>
      <c r="G250" s="5">
        <v>402</v>
      </c>
      <c r="H250" s="12">
        <f>_xlfn.XLOOKUP(Data[[#This Row],[Product]],products[Product],products[Cost per unit])</f>
        <v>11.88</v>
      </c>
      <c r="I250" s="32">
        <f>Data[[#This Row],[Cost Per Unit]]*Data[[#This Row],[Units]]</f>
        <v>4775.76</v>
      </c>
    </row>
    <row r="251" spans="3:9" x14ac:dyDescent="0.3">
      <c r="C251" t="s">
        <v>3</v>
      </c>
      <c r="D251" t="s">
        <v>37</v>
      </c>
      <c r="E251" t="s">
        <v>28</v>
      </c>
      <c r="F251" s="4">
        <v>7308</v>
      </c>
      <c r="G251" s="5">
        <v>327</v>
      </c>
      <c r="H251" s="12">
        <f>_xlfn.XLOOKUP(Data[[#This Row],[Product]],products[Product],products[Cost per unit])</f>
        <v>10.38</v>
      </c>
      <c r="I251" s="32">
        <f>Data[[#This Row],[Cost Per Unit]]*Data[[#This Row],[Units]]</f>
        <v>3394.26</v>
      </c>
    </row>
    <row r="252" spans="3:9" x14ac:dyDescent="0.3">
      <c r="C252" t="s">
        <v>40</v>
      </c>
      <c r="D252" t="s">
        <v>37</v>
      </c>
      <c r="E252" t="s">
        <v>27</v>
      </c>
      <c r="F252" s="4">
        <v>6132</v>
      </c>
      <c r="G252" s="5">
        <v>93</v>
      </c>
      <c r="H252" s="12">
        <f>_xlfn.XLOOKUP(Data[[#This Row],[Product]],products[Product],products[Cost per unit])</f>
        <v>16.73</v>
      </c>
      <c r="I252" s="32">
        <f>Data[[#This Row],[Cost Per Unit]]*Data[[#This Row],[Units]]</f>
        <v>1555.89</v>
      </c>
    </row>
    <row r="253" spans="3:9" x14ac:dyDescent="0.3">
      <c r="C253" t="s">
        <v>10</v>
      </c>
      <c r="D253" t="s">
        <v>35</v>
      </c>
      <c r="E253" t="s">
        <v>14</v>
      </c>
      <c r="F253" s="4">
        <v>3472</v>
      </c>
      <c r="G253" s="5">
        <v>96</v>
      </c>
      <c r="H253" s="12">
        <f>_xlfn.XLOOKUP(Data[[#This Row],[Product]],products[Product],products[Cost per unit])</f>
        <v>11.7</v>
      </c>
      <c r="I253" s="32">
        <f>Data[[#This Row],[Cost Per Unit]]*Data[[#This Row],[Units]]</f>
        <v>1123.1999999999998</v>
      </c>
    </row>
    <row r="254" spans="3:9" x14ac:dyDescent="0.3">
      <c r="C254" t="s">
        <v>8</v>
      </c>
      <c r="D254" t="s">
        <v>39</v>
      </c>
      <c r="E254" t="s">
        <v>18</v>
      </c>
      <c r="F254" s="4">
        <v>9660</v>
      </c>
      <c r="G254" s="5">
        <v>27</v>
      </c>
      <c r="H254" s="12">
        <f>_xlfn.XLOOKUP(Data[[#This Row],[Product]],products[Product],products[Cost per unit])</f>
        <v>6.47</v>
      </c>
      <c r="I254" s="32">
        <f>Data[[#This Row],[Cost Per Unit]]*Data[[#This Row],[Units]]</f>
        <v>174.69</v>
      </c>
    </row>
    <row r="255" spans="3:9" x14ac:dyDescent="0.3">
      <c r="C255" t="s">
        <v>9</v>
      </c>
      <c r="D255" t="s">
        <v>38</v>
      </c>
      <c r="E255" t="s">
        <v>26</v>
      </c>
      <c r="F255" s="4">
        <v>2436</v>
      </c>
      <c r="G255" s="5">
        <v>99</v>
      </c>
      <c r="H255" s="12">
        <f>_xlfn.XLOOKUP(Data[[#This Row],[Product]],products[Product],products[Cost per unit])</f>
        <v>5.6</v>
      </c>
      <c r="I255" s="32">
        <f>Data[[#This Row],[Cost Per Unit]]*Data[[#This Row],[Units]]</f>
        <v>554.4</v>
      </c>
    </row>
    <row r="256" spans="3:9" x14ac:dyDescent="0.3">
      <c r="C256" t="s">
        <v>9</v>
      </c>
      <c r="D256" t="s">
        <v>38</v>
      </c>
      <c r="E256" t="s">
        <v>33</v>
      </c>
      <c r="F256" s="4">
        <v>9506</v>
      </c>
      <c r="G256" s="5">
        <v>87</v>
      </c>
      <c r="H256" s="12">
        <f>_xlfn.XLOOKUP(Data[[#This Row],[Product]],products[Product],products[Cost per unit])</f>
        <v>12.37</v>
      </c>
      <c r="I256" s="32">
        <f>Data[[#This Row],[Cost Per Unit]]*Data[[#This Row],[Units]]</f>
        <v>1076.1899999999998</v>
      </c>
    </row>
    <row r="257" spans="3:9" x14ac:dyDescent="0.3">
      <c r="C257" t="s">
        <v>10</v>
      </c>
      <c r="D257" t="s">
        <v>37</v>
      </c>
      <c r="E257" t="s">
        <v>21</v>
      </c>
      <c r="F257" s="4">
        <v>245</v>
      </c>
      <c r="G257" s="5">
        <v>288</v>
      </c>
      <c r="H257" s="12">
        <f>_xlfn.XLOOKUP(Data[[#This Row],[Product]],products[Product],products[Cost per unit])</f>
        <v>9</v>
      </c>
      <c r="I257" s="32">
        <f>Data[[#This Row],[Cost Per Unit]]*Data[[#This Row],[Units]]</f>
        <v>2592</v>
      </c>
    </row>
    <row r="258" spans="3:9" x14ac:dyDescent="0.3">
      <c r="C258" t="s">
        <v>8</v>
      </c>
      <c r="D258" t="s">
        <v>35</v>
      </c>
      <c r="E258" t="s">
        <v>20</v>
      </c>
      <c r="F258" s="4">
        <v>2702</v>
      </c>
      <c r="G258" s="5">
        <v>363</v>
      </c>
      <c r="H258" s="12">
        <f>_xlfn.XLOOKUP(Data[[#This Row],[Product]],products[Product],products[Cost per unit])</f>
        <v>10.62</v>
      </c>
      <c r="I258" s="32">
        <f>Data[[#This Row],[Cost Per Unit]]*Data[[#This Row],[Units]]</f>
        <v>3855.0599999999995</v>
      </c>
    </row>
    <row r="259" spans="3:9" x14ac:dyDescent="0.3">
      <c r="C259" t="s">
        <v>10</v>
      </c>
      <c r="D259" t="s">
        <v>34</v>
      </c>
      <c r="E259" t="s">
        <v>17</v>
      </c>
      <c r="F259" s="4">
        <v>700</v>
      </c>
      <c r="G259" s="5">
        <v>87</v>
      </c>
      <c r="H259" s="12">
        <f>_xlfn.XLOOKUP(Data[[#This Row],[Product]],products[Product],products[Cost per unit])</f>
        <v>3.11</v>
      </c>
      <c r="I259" s="32">
        <f>Data[[#This Row],[Cost Per Unit]]*Data[[#This Row],[Units]]</f>
        <v>270.57</v>
      </c>
    </row>
    <row r="260" spans="3:9" x14ac:dyDescent="0.3">
      <c r="C260" t="s">
        <v>6</v>
      </c>
      <c r="D260" t="s">
        <v>34</v>
      </c>
      <c r="E260" t="s">
        <v>17</v>
      </c>
      <c r="F260" s="4">
        <v>3759</v>
      </c>
      <c r="G260" s="5">
        <v>150</v>
      </c>
      <c r="H260" s="12">
        <f>_xlfn.XLOOKUP(Data[[#This Row],[Product]],products[Product],products[Cost per unit])</f>
        <v>3.11</v>
      </c>
      <c r="I260" s="32">
        <f>Data[[#This Row],[Cost Per Unit]]*Data[[#This Row],[Units]]</f>
        <v>466.5</v>
      </c>
    </row>
    <row r="261" spans="3:9" x14ac:dyDescent="0.3">
      <c r="C261" t="s">
        <v>2</v>
      </c>
      <c r="D261" t="s">
        <v>35</v>
      </c>
      <c r="E261" t="s">
        <v>17</v>
      </c>
      <c r="F261" s="4">
        <v>1589</v>
      </c>
      <c r="G261" s="5">
        <v>303</v>
      </c>
      <c r="H261" s="12">
        <f>_xlfn.XLOOKUP(Data[[#This Row],[Product]],products[Product],products[Cost per unit])</f>
        <v>3.11</v>
      </c>
      <c r="I261" s="32">
        <f>Data[[#This Row],[Cost Per Unit]]*Data[[#This Row],[Units]]</f>
        <v>942.32999999999993</v>
      </c>
    </row>
    <row r="262" spans="3:9" x14ac:dyDescent="0.3">
      <c r="C262" t="s">
        <v>7</v>
      </c>
      <c r="D262" t="s">
        <v>35</v>
      </c>
      <c r="E262" t="s">
        <v>28</v>
      </c>
      <c r="F262" s="4">
        <v>5194</v>
      </c>
      <c r="G262" s="5">
        <v>288</v>
      </c>
      <c r="H262" s="12">
        <f>_xlfn.XLOOKUP(Data[[#This Row],[Product]],products[Product],products[Cost per unit])</f>
        <v>10.38</v>
      </c>
      <c r="I262" s="32">
        <f>Data[[#This Row],[Cost Per Unit]]*Data[[#This Row],[Units]]</f>
        <v>2989.44</v>
      </c>
    </row>
    <row r="263" spans="3:9" x14ac:dyDescent="0.3">
      <c r="C263" t="s">
        <v>10</v>
      </c>
      <c r="D263" t="s">
        <v>36</v>
      </c>
      <c r="E263" t="s">
        <v>13</v>
      </c>
      <c r="F263" s="4">
        <v>945</v>
      </c>
      <c r="G263" s="5">
        <v>75</v>
      </c>
      <c r="H263" s="12">
        <f>_xlfn.XLOOKUP(Data[[#This Row],[Product]],products[Product],products[Cost per unit])</f>
        <v>9.33</v>
      </c>
      <c r="I263" s="32">
        <f>Data[[#This Row],[Cost Per Unit]]*Data[[#This Row],[Units]]</f>
        <v>699.75</v>
      </c>
    </row>
    <row r="264" spans="3:9" x14ac:dyDescent="0.3">
      <c r="C264" t="s">
        <v>40</v>
      </c>
      <c r="D264" t="s">
        <v>38</v>
      </c>
      <c r="E264" t="s">
        <v>31</v>
      </c>
      <c r="F264" s="4">
        <v>1988</v>
      </c>
      <c r="G264" s="5">
        <v>39</v>
      </c>
      <c r="H264" s="12">
        <f>_xlfn.XLOOKUP(Data[[#This Row],[Product]],products[Product],products[Cost per unit])</f>
        <v>5.79</v>
      </c>
      <c r="I264" s="32">
        <f>Data[[#This Row],[Cost Per Unit]]*Data[[#This Row],[Units]]</f>
        <v>225.81</v>
      </c>
    </row>
    <row r="265" spans="3:9" x14ac:dyDescent="0.3">
      <c r="C265" t="s">
        <v>6</v>
      </c>
      <c r="D265" t="s">
        <v>34</v>
      </c>
      <c r="E265" t="s">
        <v>32</v>
      </c>
      <c r="F265" s="4">
        <v>6734</v>
      </c>
      <c r="G265" s="5">
        <v>123</v>
      </c>
      <c r="H265" s="12">
        <f>_xlfn.XLOOKUP(Data[[#This Row],[Product]],products[Product],products[Cost per unit])</f>
        <v>8.65</v>
      </c>
      <c r="I265" s="32">
        <f>Data[[#This Row],[Cost Per Unit]]*Data[[#This Row],[Units]]</f>
        <v>1063.95</v>
      </c>
    </row>
    <row r="266" spans="3:9" x14ac:dyDescent="0.3">
      <c r="C266" t="s">
        <v>40</v>
      </c>
      <c r="D266" t="s">
        <v>36</v>
      </c>
      <c r="E266" t="s">
        <v>4</v>
      </c>
      <c r="F266" s="4">
        <v>217</v>
      </c>
      <c r="G266" s="5">
        <v>36</v>
      </c>
      <c r="H266" s="12">
        <f>_xlfn.XLOOKUP(Data[[#This Row],[Product]],products[Product],products[Cost per unit])</f>
        <v>11.88</v>
      </c>
      <c r="I266" s="32">
        <f>Data[[#This Row],[Cost Per Unit]]*Data[[#This Row],[Units]]</f>
        <v>427.68</v>
      </c>
    </row>
    <row r="267" spans="3:9" x14ac:dyDescent="0.3">
      <c r="C267" t="s">
        <v>5</v>
      </c>
      <c r="D267" t="s">
        <v>34</v>
      </c>
      <c r="E267" t="s">
        <v>22</v>
      </c>
      <c r="F267" s="4">
        <v>6279</v>
      </c>
      <c r="G267" s="5">
        <v>237</v>
      </c>
      <c r="H267" s="12">
        <f>_xlfn.XLOOKUP(Data[[#This Row],[Product]],products[Product],products[Cost per unit])</f>
        <v>9.77</v>
      </c>
      <c r="I267" s="32">
        <f>Data[[#This Row],[Cost Per Unit]]*Data[[#This Row],[Units]]</f>
        <v>2315.4899999999998</v>
      </c>
    </row>
    <row r="268" spans="3:9" x14ac:dyDescent="0.3">
      <c r="C268" t="s">
        <v>40</v>
      </c>
      <c r="D268" t="s">
        <v>36</v>
      </c>
      <c r="E268" t="s">
        <v>13</v>
      </c>
      <c r="F268" s="4">
        <v>4424</v>
      </c>
      <c r="G268" s="5">
        <v>201</v>
      </c>
      <c r="H268" s="12">
        <f>_xlfn.XLOOKUP(Data[[#This Row],[Product]],products[Product],products[Cost per unit])</f>
        <v>9.33</v>
      </c>
      <c r="I268" s="32">
        <f>Data[[#This Row],[Cost Per Unit]]*Data[[#This Row],[Units]]</f>
        <v>1875.33</v>
      </c>
    </row>
    <row r="269" spans="3:9" x14ac:dyDescent="0.3">
      <c r="C269" t="s">
        <v>2</v>
      </c>
      <c r="D269" t="s">
        <v>36</v>
      </c>
      <c r="E269" t="s">
        <v>17</v>
      </c>
      <c r="F269" s="4">
        <v>189</v>
      </c>
      <c r="G269" s="5">
        <v>48</v>
      </c>
      <c r="H269" s="12">
        <f>_xlfn.XLOOKUP(Data[[#This Row],[Product]],products[Product],products[Cost per unit])</f>
        <v>3.11</v>
      </c>
      <c r="I269" s="32">
        <f>Data[[#This Row],[Cost Per Unit]]*Data[[#This Row],[Units]]</f>
        <v>149.28</v>
      </c>
    </row>
    <row r="270" spans="3:9" x14ac:dyDescent="0.3">
      <c r="C270" t="s">
        <v>5</v>
      </c>
      <c r="D270" t="s">
        <v>35</v>
      </c>
      <c r="E270" t="s">
        <v>22</v>
      </c>
      <c r="F270" s="4">
        <v>490</v>
      </c>
      <c r="G270" s="5">
        <v>84</v>
      </c>
      <c r="H270" s="12">
        <f>_xlfn.XLOOKUP(Data[[#This Row],[Product]],products[Product],products[Cost per unit])</f>
        <v>9.77</v>
      </c>
      <c r="I270" s="32">
        <f>Data[[#This Row],[Cost Per Unit]]*Data[[#This Row],[Units]]</f>
        <v>820.68</v>
      </c>
    </row>
    <row r="271" spans="3:9" x14ac:dyDescent="0.3">
      <c r="C271" t="s">
        <v>8</v>
      </c>
      <c r="D271" t="s">
        <v>37</v>
      </c>
      <c r="E271" t="s">
        <v>21</v>
      </c>
      <c r="F271" s="4">
        <v>434</v>
      </c>
      <c r="G271" s="5">
        <v>87</v>
      </c>
      <c r="H271" s="12">
        <f>_xlfn.XLOOKUP(Data[[#This Row],[Product]],products[Product],products[Cost per unit])</f>
        <v>9</v>
      </c>
      <c r="I271" s="32">
        <f>Data[[#This Row],[Cost Per Unit]]*Data[[#This Row],[Units]]</f>
        <v>783</v>
      </c>
    </row>
    <row r="272" spans="3:9" x14ac:dyDescent="0.3">
      <c r="C272" t="s">
        <v>7</v>
      </c>
      <c r="D272" t="s">
        <v>38</v>
      </c>
      <c r="E272" t="s">
        <v>30</v>
      </c>
      <c r="F272" s="4">
        <v>10129</v>
      </c>
      <c r="G272" s="5">
        <v>312</v>
      </c>
      <c r="H272" s="12">
        <f>_xlfn.XLOOKUP(Data[[#This Row],[Product]],products[Product],products[Cost per unit])</f>
        <v>14.49</v>
      </c>
      <c r="I272" s="32">
        <f>Data[[#This Row],[Cost Per Unit]]*Data[[#This Row],[Units]]</f>
        <v>4520.88</v>
      </c>
    </row>
    <row r="273" spans="3:9" x14ac:dyDescent="0.3">
      <c r="C273" t="s">
        <v>3</v>
      </c>
      <c r="D273" t="s">
        <v>39</v>
      </c>
      <c r="E273" t="s">
        <v>28</v>
      </c>
      <c r="F273" s="4">
        <v>1652</v>
      </c>
      <c r="G273" s="5">
        <v>102</v>
      </c>
      <c r="H273" s="12">
        <f>_xlfn.XLOOKUP(Data[[#This Row],[Product]],products[Product],products[Cost per unit])</f>
        <v>10.38</v>
      </c>
      <c r="I273" s="32">
        <f>Data[[#This Row],[Cost Per Unit]]*Data[[#This Row],[Units]]</f>
        <v>1058.76</v>
      </c>
    </row>
    <row r="274" spans="3:9" x14ac:dyDescent="0.3">
      <c r="C274" t="s">
        <v>8</v>
      </c>
      <c r="D274" t="s">
        <v>38</v>
      </c>
      <c r="E274" t="s">
        <v>21</v>
      </c>
      <c r="F274" s="4">
        <v>6433</v>
      </c>
      <c r="G274" s="5">
        <v>78</v>
      </c>
      <c r="H274" s="12">
        <f>_xlfn.XLOOKUP(Data[[#This Row],[Product]],products[Product],products[Cost per unit])</f>
        <v>9</v>
      </c>
      <c r="I274" s="32">
        <f>Data[[#This Row],[Cost Per Unit]]*Data[[#This Row],[Units]]</f>
        <v>702</v>
      </c>
    </row>
    <row r="275" spans="3:9" x14ac:dyDescent="0.3">
      <c r="C275" t="s">
        <v>3</v>
      </c>
      <c r="D275" t="s">
        <v>34</v>
      </c>
      <c r="E275" t="s">
        <v>23</v>
      </c>
      <c r="F275" s="4">
        <v>2212</v>
      </c>
      <c r="G275" s="5">
        <v>117</v>
      </c>
      <c r="H275" s="12">
        <f>_xlfn.XLOOKUP(Data[[#This Row],[Product]],products[Product],products[Cost per unit])</f>
        <v>6.49</v>
      </c>
      <c r="I275" s="32">
        <f>Data[[#This Row],[Cost Per Unit]]*Data[[#This Row],[Units]]</f>
        <v>759.33</v>
      </c>
    </row>
    <row r="276" spans="3:9" x14ac:dyDescent="0.3">
      <c r="C276" t="s">
        <v>41</v>
      </c>
      <c r="D276" t="s">
        <v>35</v>
      </c>
      <c r="E276" t="s">
        <v>19</v>
      </c>
      <c r="F276" s="4">
        <v>609</v>
      </c>
      <c r="G276" s="5">
        <v>99</v>
      </c>
      <c r="H276" s="12">
        <f>_xlfn.XLOOKUP(Data[[#This Row],[Product]],products[Product],products[Cost per unit])</f>
        <v>7.64</v>
      </c>
      <c r="I276" s="32">
        <f>Data[[#This Row],[Cost Per Unit]]*Data[[#This Row],[Units]]</f>
        <v>756.36</v>
      </c>
    </row>
    <row r="277" spans="3:9" x14ac:dyDescent="0.3">
      <c r="C277" t="s">
        <v>40</v>
      </c>
      <c r="D277" t="s">
        <v>35</v>
      </c>
      <c r="E277" t="s">
        <v>24</v>
      </c>
      <c r="F277" s="4">
        <v>1638</v>
      </c>
      <c r="G277" s="5">
        <v>48</v>
      </c>
      <c r="H277" s="12">
        <f>_xlfn.XLOOKUP(Data[[#This Row],[Product]],products[Product],products[Cost per unit])</f>
        <v>4.97</v>
      </c>
      <c r="I277" s="32">
        <f>Data[[#This Row],[Cost Per Unit]]*Data[[#This Row],[Units]]</f>
        <v>238.56</v>
      </c>
    </row>
    <row r="278" spans="3:9" x14ac:dyDescent="0.3">
      <c r="C278" t="s">
        <v>7</v>
      </c>
      <c r="D278" t="s">
        <v>34</v>
      </c>
      <c r="E278" t="s">
        <v>15</v>
      </c>
      <c r="F278" s="4">
        <v>3829</v>
      </c>
      <c r="G278" s="5">
        <v>24</v>
      </c>
      <c r="H278" s="12">
        <f>_xlfn.XLOOKUP(Data[[#This Row],[Product]],products[Product],products[Cost per unit])</f>
        <v>11.73</v>
      </c>
      <c r="I278" s="32">
        <f>Data[[#This Row],[Cost Per Unit]]*Data[[#This Row],[Units]]</f>
        <v>281.52</v>
      </c>
    </row>
    <row r="279" spans="3:9" x14ac:dyDescent="0.3">
      <c r="C279" t="s">
        <v>40</v>
      </c>
      <c r="D279" t="s">
        <v>39</v>
      </c>
      <c r="E279" t="s">
        <v>15</v>
      </c>
      <c r="F279" s="4">
        <v>5775</v>
      </c>
      <c r="G279" s="5">
        <v>42</v>
      </c>
      <c r="H279" s="12">
        <f>_xlfn.XLOOKUP(Data[[#This Row],[Product]],products[Product],products[Cost per unit])</f>
        <v>11.73</v>
      </c>
      <c r="I279" s="32">
        <f>Data[[#This Row],[Cost Per Unit]]*Data[[#This Row],[Units]]</f>
        <v>492.66</v>
      </c>
    </row>
    <row r="280" spans="3:9" x14ac:dyDescent="0.3">
      <c r="C280" t="s">
        <v>6</v>
      </c>
      <c r="D280" t="s">
        <v>35</v>
      </c>
      <c r="E280" t="s">
        <v>20</v>
      </c>
      <c r="F280" s="4">
        <v>1071</v>
      </c>
      <c r="G280" s="5">
        <v>270</v>
      </c>
      <c r="H280" s="12">
        <f>_xlfn.XLOOKUP(Data[[#This Row],[Product]],products[Product],products[Cost per unit])</f>
        <v>10.62</v>
      </c>
      <c r="I280" s="32">
        <f>Data[[#This Row],[Cost Per Unit]]*Data[[#This Row],[Units]]</f>
        <v>2867.3999999999996</v>
      </c>
    </row>
    <row r="281" spans="3:9" x14ac:dyDescent="0.3">
      <c r="C281" t="s">
        <v>8</v>
      </c>
      <c r="D281" t="s">
        <v>36</v>
      </c>
      <c r="E281" t="s">
        <v>23</v>
      </c>
      <c r="F281" s="4">
        <v>5019</v>
      </c>
      <c r="G281" s="5">
        <v>150</v>
      </c>
      <c r="H281" s="12">
        <f>_xlfn.XLOOKUP(Data[[#This Row],[Product]],products[Product],products[Cost per unit])</f>
        <v>6.49</v>
      </c>
      <c r="I281" s="32">
        <f>Data[[#This Row],[Cost Per Unit]]*Data[[#This Row],[Units]]</f>
        <v>973.5</v>
      </c>
    </row>
    <row r="282" spans="3:9" x14ac:dyDescent="0.3">
      <c r="C282" t="s">
        <v>2</v>
      </c>
      <c r="D282" t="s">
        <v>37</v>
      </c>
      <c r="E282" t="s">
        <v>15</v>
      </c>
      <c r="F282" s="4">
        <v>2863</v>
      </c>
      <c r="G282" s="5">
        <v>42</v>
      </c>
      <c r="H282" s="12">
        <f>_xlfn.XLOOKUP(Data[[#This Row],[Product]],products[Product],products[Cost per unit])</f>
        <v>11.73</v>
      </c>
      <c r="I282" s="32">
        <f>Data[[#This Row],[Cost Per Unit]]*Data[[#This Row],[Units]]</f>
        <v>492.66</v>
      </c>
    </row>
    <row r="283" spans="3:9" x14ac:dyDescent="0.3">
      <c r="C283" t="s">
        <v>40</v>
      </c>
      <c r="D283" t="s">
        <v>35</v>
      </c>
      <c r="E283" t="s">
        <v>29</v>
      </c>
      <c r="F283" s="4">
        <v>1617</v>
      </c>
      <c r="G283" s="5">
        <v>126</v>
      </c>
      <c r="H283" s="12">
        <f>_xlfn.XLOOKUP(Data[[#This Row],[Product]],products[Product],products[Cost per unit])</f>
        <v>7.16</v>
      </c>
      <c r="I283" s="32">
        <f>Data[[#This Row],[Cost Per Unit]]*Data[[#This Row],[Units]]</f>
        <v>902.16</v>
      </c>
    </row>
    <row r="284" spans="3:9" x14ac:dyDescent="0.3">
      <c r="C284" t="s">
        <v>6</v>
      </c>
      <c r="D284" t="s">
        <v>37</v>
      </c>
      <c r="E284" t="s">
        <v>26</v>
      </c>
      <c r="F284" s="4">
        <v>6818</v>
      </c>
      <c r="G284" s="5">
        <v>6</v>
      </c>
      <c r="H284" s="12">
        <f>_xlfn.XLOOKUP(Data[[#This Row],[Product]],products[Product],products[Cost per unit])</f>
        <v>5.6</v>
      </c>
      <c r="I284" s="32">
        <f>Data[[#This Row],[Cost Per Unit]]*Data[[#This Row],[Units]]</f>
        <v>33.599999999999994</v>
      </c>
    </row>
    <row r="285" spans="3:9" x14ac:dyDescent="0.3">
      <c r="C285" t="s">
        <v>3</v>
      </c>
      <c r="D285" t="s">
        <v>35</v>
      </c>
      <c r="E285" t="s">
        <v>15</v>
      </c>
      <c r="F285" s="4">
        <v>6657</v>
      </c>
      <c r="G285" s="5">
        <v>276</v>
      </c>
      <c r="H285" s="12">
        <f>_xlfn.XLOOKUP(Data[[#This Row],[Product]],products[Product],products[Cost per unit])</f>
        <v>11.73</v>
      </c>
      <c r="I285" s="32">
        <f>Data[[#This Row],[Cost Per Unit]]*Data[[#This Row],[Units]]</f>
        <v>3237.48</v>
      </c>
    </row>
    <row r="286" spans="3:9" x14ac:dyDescent="0.3">
      <c r="C286" t="s">
        <v>3</v>
      </c>
      <c r="D286" t="s">
        <v>34</v>
      </c>
      <c r="E286" t="s">
        <v>17</v>
      </c>
      <c r="F286" s="4">
        <v>2919</v>
      </c>
      <c r="G286" s="5">
        <v>93</v>
      </c>
      <c r="H286" s="12">
        <f>_xlfn.XLOOKUP(Data[[#This Row],[Product]],products[Product],products[Cost per unit])</f>
        <v>3.11</v>
      </c>
      <c r="I286" s="32">
        <f>Data[[#This Row],[Cost Per Unit]]*Data[[#This Row],[Units]]</f>
        <v>289.22999999999996</v>
      </c>
    </row>
    <row r="287" spans="3:9" x14ac:dyDescent="0.3">
      <c r="C287" t="s">
        <v>2</v>
      </c>
      <c r="D287" t="s">
        <v>36</v>
      </c>
      <c r="E287" t="s">
        <v>31</v>
      </c>
      <c r="F287" s="4">
        <v>3094</v>
      </c>
      <c r="G287" s="5">
        <v>246</v>
      </c>
      <c r="H287" s="12">
        <f>_xlfn.XLOOKUP(Data[[#This Row],[Product]],products[Product],products[Cost per unit])</f>
        <v>5.79</v>
      </c>
      <c r="I287" s="32">
        <f>Data[[#This Row],[Cost Per Unit]]*Data[[#This Row],[Units]]</f>
        <v>1424.34</v>
      </c>
    </row>
    <row r="288" spans="3:9" x14ac:dyDescent="0.3">
      <c r="C288" t="s">
        <v>6</v>
      </c>
      <c r="D288" t="s">
        <v>39</v>
      </c>
      <c r="E288" t="s">
        <v>24</v>
      </c>
      <c r="F288" s="4">
        <v>2989</v>
      </c>
      <c r="G288" s="5">
        <v>3</v>
      </c>
      <c r="H288" s="12">
        <f>_xlfn.XLOOKUP(Data[[#This Row],[Product]],products[Product],products[Cost per unit])</f>
        <v>4.97</v>
      </c>
      <c r="I288" s="32">
        <f>Data[[#This Row],[Cost Per Unit]]*Data[[#This Row],[Units]]</f>
        <v>14.91</v>
      </c>
    </row>
    <row r="289" spans="3:9" x14ac:dyDescent="0.3">
      <c r="C289" t="s">
        <v>8</v>
      </c>
      <c r="D289" t="s">
        <v>38</v>
      </c>
      <c r="E289" t="s">
        <v>27</v>
      </c>
      <c r="F289" s="4">
        <v>2268</v>
      </c>
      <c r="G289" s="5">
        <v>63</v>
      </c>
      <c r="H289" s="12">
        <f>_xlfn.XLOOKUP(Data[[#This Row],[Product]],products[Product],products[Cost per unit])</f>
        <v>16.73</v>
      </c>
      <c r="I289" s="32">
        <f>Data[[#This Row],[Cost Per Unit]]*Data[[#This Row],[Units]]</f>
        <v>1053.99</v>
      </c>
    </row>
    <row r="290" spans="3:9" x14ac:dyDescent="0.3">
      <c r="C290" t="s">
        <v>5</v>
      </c>
      <c r="D290" t="s">
        <v>35</v>
      </c>
      <c r="E290" t="s">
        <v>31</v>
      </c>
      <c r="F290" s="4">
        <v>4753</v>
      </c>
      <c r="G290" s="5">
        <v>246</v>
      </c>
      <c r="H290" s="12">
        <f>_xlfn.XLOOKUP(Data[[#This Row],[Product]],products[Product],products[Cost per unit])</f>
        <v>5.79</v>
      </c>
      <c r="I290" s="32">
        <f>Data[[#This Row],[Cost Per Unit]]*Data[[#This Row],[Units]]</f>
        <v>1424.34</v>
      </c>
    </row>
    <row r="291" spans="3:9" x14ac:dyDescent="0.3">
      <c r="C291" t="s">
        <v>2</v>
      </c>
      <c r="D291" t="s">
        <v>34</v>
      </c>
      <c r="E291" t="s">
        <v>19</v>
      </c>
      <c r="F291" s="4">
        <v>7511</v>
      </c>
      <c r="G291" s="5">
        <v>120</v>
      </c>
      <c r="H291" s="12">
        <f>_xlfn.XLOOKUP(Data[[#This Row],[Product]],products[Product],products[Cost per unit])</f>
        <v>7.64</v>
      </c>
      <c r="I291" s="32">
        <f>Data[[#This Row],[Cost Per Unit]]*Data[[#This Row],[Units]]</f>
        <v>916.8</v>
      </c>
    </row>
    <row r="292" spans="3:9" x14ac:dyDescent="0.3">
      <c r="C292" t="s">
        <v>2</v>
      </c>
      <c r="D292" t="s">
        <v>38</v>
      </c>
      <c r="E292" t="s">
        <v>31</v>
      </c>
      <c r="F292" s="4">
        <v>4326</v>
      </c>
      <c r="G292" s="5">
        <v>348</v>
      </c>
      <c r="H292" s="12">
        <f>_xlfn.XLOOKUP(Data[[#This Row],[Product]],products[Product],products[Cost per unit])</f>
        <v>5.79</v>
      </c>
      <c r="I292" s="32">
        <f>Data[[#This Row],[Cost Per Unit]]*Data[[#This Row],[Units]]</f>
        <v>2014.92</v>
      </c>
    </row>
    <row r="293" spans="3:9" x14ac:dyDescent="0.3">
      <c r="C293" t="s">
        <v>41</v>
      </c>
      <c r="D293" t="s">
        <v>34</v>
      </c>
      <c r="E293" t="s">
        <v>23</v>
      </c>
      <c r="F293" s="4">
        <v>4935</v>
      </c>
      <c r="G293" s="5">
        <v>126</v>
      </c>
      <c r="H293" s="12">
        <f>_xlfn.XLOOKUP(Data[[#This Row],[Product]],products[Product],products[Cost per unit])</f>
        <v>6.49</v>
      </c>
      <c r="I293" s="32">
        <f>Data[[#This Row],[Cost Per Unit]]*Data[[#This Row],[Units]]</f>
        <v>817.74</v>
      </c>
    </row>
    <row r="294" spans="3:9" x14ac:dyDescent="0.3">
      <c r="C294" t="s">
        <v>6</v>
      </c>
      <c r="D294" t="s">
        <v>35</v>
      </c>
      <c r="E294" t="s">
        <v>30</v>
      </c>
      <c r="F294" s="4">
        <v>4781</v>
      </c>
      <c r="G294" s="5">
        <v>123</v>
      </c>
      <c r="H294" s="12">
        <f>_xlfn.XLOOKUP(Data[[#This Row],[Product]],products[Product],products[Cost per unit])</f>
        <v>14.49</v>
      </c>
      <c r="I294" s="32">
        <f>Data[[#This Row],[Cost Per Unit]]*Data[[#This Row],[Units]]</f>
        <v>1782.27</v>
      </c>
    </row>
    <row r="295" spans="3:9" x14ac:dyDescent="0.3">
      <c r="C295" t="s">
        <v>5</v>
      </c>
      <c r="D295" t="s">
        <v>38</v>
      </c>
      <c r="E295" t="s">
        <v>25</v>
      </c>
      <c r="F295" s="4">
        <v>7483</v>
      </c>
      <c r="G295" s="5">
        <v>45</v>
      </c>
      <c r="H295" s="12">
        <f>_xlfn.XLOOKUP(Data[[#This Row],[Product]],products[Product],products[Cost per unit])</f>
        <v>13.15</v>
      </c>
      <c r="I295" s="32">
        <f>Data[[#This Row],[Cost Per Unit]]*Data[[#This Row],[Units]]</f>
        <v>591.75</v>
      </c>
    </row>
    <row r="296" spans="3:9" x14ac:dyDescent="0.3">
      <c r="C296" t="s">
        <v>10</v>
      </c>
      <c r="D296" t="s">
        <v>38</v>
      </c>
      <c r="E296" t="s">
        <v>4</v>
      </c>
      <c r="F296" s="4">
        <v>6860</v>
      </c>
      <c r="G296" s="5">
        <v>126</v>
      </c>
      <c r="H296" s="12">
        <f>_xlfn.XLOOKUP(Data[[#This Row],[Product]],products[Product],products[Cost per unit])</f>
        <v>11.88</v>
      </c>
      <c r="I296" s="32">
        <f>Data[[#This Row],[Cost Per Unit]]*Data[[#This Row],[Units]]</f>
        <v>1496.88</v>
      </c>
    </row>
    <row r="297" spans="3:9" x14ac:dyDescent="0.3">
      <c r="C297" t="s">
        <v>40</v>
      </c>
      <c r="D297" t="s">
        <v>37</v>
      </c>
      <c r="E297" t="s">
        <v>29</v>
      </c>
      <c r="F297" s="4">
        <v>9002</v>
      </c>
      <c r="G297" s="5">
        <v>72</v>
      </c>
      <c r="H297" s="12">
        <f>_xlfn.XLOOKUP(Data[[#This Row],[Product]],products[Product],products[Cost per unit])</f>
        <v>7.16</v>
      </c>
      <c r="I297" s="32">
        <f>Data[[#This Row],[Cost Per Unit]]*Data[[#This Row],[Units]]</f>
        <v>515.52</v>
      </c>
    </row>
    <row r="298" spans="3:9" x14ac:dyDescent="0.3">
      <c r="C298" t="s">
        <v>6</v>
      </c>
      <c r="D298" t="s">
        <v>36</v>
      </c>
      <c r="E298" t="s">
        <v>29</v>
      </c>
      <c r="F298" s="4">
        <v>1400</v>
      </c>
      <c r="G298" s="5">
        <v>135</v>
      </c>
      <c r="H298" s="12">
        <f>_xlfn.XLOOKUP(Data[[#This Row],[Product]],products[Product],products[Cost per unit])</f>
        <v>7.16</v>
      </c>
      <c r="I298" s="32">
        <f>Data[[#This Row],[Cost Per Unit]]*Data[[#This Row],[Units]]</f>
        <v>966.6</v>
      </c>
    </row>
    <row r="299" spans="3:9" x14ac:dyDescent="0.3">
      <c r="C299" t="s">
        <v>10</v>
      </c>
      <c r="D299" t="s">
        <v>34</v>
      </c>
      <c r="E299" t="s">
        <v>22</v>
      </c>
      <c r="F299" s="4">
        <v>4053</v>
      </c>
      <c r="G299" s="5">
        <v>24</v>
      </c>
      <c r="H299" s="12">
        <f>_xlfn.XLOOKUP(Data[[#This Row],[Product]],products[Product],products[Cost per unit])</f>
        <v>9.77</v>
      </c>
      <c r="I299" s="32">
        <f>Data[[#This Row],[Cost Per Unit]]*Data[[#This Row],[Units]]</f>
        <v>234.48</v>
      </c>
    </row>
    <row r="300" spans="3:9" x14ac:dyDescent="0.3">
      <c r="C300" t="s">
        <v>7</v>
      </c>
      <c r="D300" t="s">
        <v>36</v>
      </c>
      <c r="E300" t="s">
        <v>31</v>
      </c>
      <c r="F300" s="4">
        <v>2149</v>
      </c>
      <c r="G300" s="5">
        <v>117</v>
      </c>
      <c r="H300" s="12">
        <f>_xlfn.XLOOKUP(Data[[#This Row],[Product]],products[Product],products[Cost per unit])</f>
        <v>5.79</v>
      </c>
      <c r="I300" s="32">
        <f>Data[[#This Row],[Cost Per Unit]]*Data[[#This Row],[Units]]</f>
        <v>677.43</v>
      </c>
    </row>
    <row r="301" spans="3:9" x14ac:dyDescent="0.3">
      <c r="C301" t="s">
        <v>3</v>
      </c>
      <c r="D301" t="s">
        <v>39</v>
      </c>
      <c r="E301" t="s">
        <v>29</v>
      </c>
      <c r="F301" s="4">
        <v>3640</v>
      </c>
      <c r="G301" s="5">
        <v>51</v>
      </c>
      <c r="H301" s="12">
        <f>_xlfn.XLOOKUP(Data[[#This Row],[Product]],products[Product],products[Cost per unit])</f>
        <v>7.16</v>
      </c>
      <c r="I301" s="32">
        <f>Data[[#This Row],[Cost Per Unit]]*Data[[#This Row],[Units]]</f>
        <v>365.16</v>
      </c>
    </row>
    <row r="302" spans="3:9" x14ac:dyDescent="0.3">
      <c r="C302" t="s">
        <v>2</v>
      </c>
      <c r="D302" t="s">
        <v>39</v>
      </c>
      <c r="E302" t="s">
        <v>23</v>
      </c>
      <c r="F302" s="4">
        <v>630</v>
      </c>
      <c r="G302" s="5">
        <v>36</v>
      </c>
      <c r="H302" s="12">
        <f>_xlfn.XLOOKUP(Data[[#This Row],[Product]],products[Product],products[Cost per unit])</f>
        <v>6.49</v>
      </c>
      <c r="I302" s="32">
        <f>Data[[#This Row],[Cost Per Unit]]*Data[[#This Row],[Units]]</f>
        <v>233.64000000000001</v>
      </c>
    </row>
    <row r="303" spans="3:9" x14ac:dyDescent="0.3">
      <c r="C303" t="s">
        <v>9</v>
      </c>
      <c r="D303" t="s">
        <v>35</v>
      </c>
      <c r="E303" t="s">
        <v>27</v>
      </c>
      <c r="F303" s="4">
        <v>2429</v>
      </c>
      <c r="G303" s="5">
        <v>144</v>
      </c>
      <c r="H303" s="12">
        <f>_xlfn.XLOOKUP(Data[[#This Row],[Product]],products[Product],products[Cost per unit])</f>
        <v>16.73</v>
      </c>
      <c r="I303" s="32">
        <f>Data[[#This Row],[Cost Per Unit]]*Data[[#This Row],[Units]]</f>
        <v>2409.12</v>
      </c>
    </row>
    <row r="304" spans="3:9" x14ac:dyDescent="0.3">
      <c r="C304" t="s">
        <v>9</v>
      </c>
      <c r="D304" t="s">
        <v>36</v>
      </c>
      <c r="E304" t="s">
        <v>25</v>
      </c>
      <c r="F304" s="4">
        <v>2142</v>
      </c>
      <c r="G304" s="5">
        <v>114</v>
      </c>
      <c r="H304" s="12">
        <f>_xlfn.XLOOKUP(Data[[#This Row],[Product]],products[Product],products[Cost per unit])</f>
        <v>13.15</v>
      </c>
      <c r="I304" s="32">
        <f>Data[[#This Row],[Cost Per Unit]]*Data[[#This Row],[Units]]</f>
        <v>1499.1000000000001</v>
      </c>
    </row>
    <row r="305" spans="3:9" x14ac:dyDescent="0.3">
      <c r="C305" t="s">
        <v>7</v>
      </c>
      <c r="D305" t="s">
        <v>37</v>
      </c>
      <c r="E305" t="s">
        <v>30</v>
      </c>
      <c r="F305" s="4">
        <v>6454</v>
      </c>
      <c r="G305" s="5">
        <v>54</v>
      </c>
      <c r="H305" s="12">
        <f>_xlfn.XLOOKUP(Data[[#This Row],[Product]],products[Product],products[Cost per unit])</f>
        <v>14.49</v>
      </c>
      <c r="I305" s="32">
        <f>Data[[#This Row],[Cost Per Unit]]*Data[[#This Row],[Units]]</f>
        <v>782.46</v>
      </c>
    </row>
    <row r="306" spans="3:9" x14ac:dyDescent="0.3">
      <c r="C306" t="s">
        <v>7</v>
      </c>
      <c r="D306" t="s">
        <v>37</v>
      </c>
      <c r="E306" t="s">
        <v>16</v>
      </c>
      <c r="F306" s="4">
        <v>4487</v>
      </c>
      <c r="G306" s="5">
        <v>333</v>
      </c>
      <c r="H306" s="12">
        <f>_xlfn.XLOOKUP(Data[[#This Row],[Product]],products[Product],products[Cost per unit])</f>
        <v>8.7899999999999991</v>
      </c>
      <c r="I306" s="32">
        <f>Data[[#This Row],[Cost Per Unit]]*Data[[#This Row],[Units]]</f>
        <v>2927.0699999999997</v>
      </c>
    </row>
    <row r="307" spans="3:9" x14ac:dyDescent="0.3">
      <c r="C307" t="s">
        <v>3</v>
      </c>
      <c r="D307" t="s">
        <v>37</v>
      </c>
      <c r="E307" t="s">
        <v>4</v>
      </c>
      <c r="F307" s="4">
        <v>938</v>
      </c>
      <c r="G307" s="5">
        <v>366</v>
      </c>
      <c r="H307" s="12">
        <f>_xlfn.XLOOKUP(Data[[#This Row],[Product]],products[Product],products[Cost per unit])</f>
        <v>11.88</v>
      </c>
      <c r="I307" s="32">
        <f>Data[[#This Row],[Cost Per Unit]]*Data[[#This Row],[Units]]</f>
        <v>4348.08</v>
      </c>
    </row>
    <row r="308" spans="3:9" x14ac:dyDescent="0.3">
      <c r="C308" t="s">
        <v>3</v>
      </c>
      <c r="D308" t="s">
        <v>38</v>
      </c>
      <c r="E308" t="s">
        <v>26</v>
      </c>
      <c r="F308" s="4">
        <v>8841</v>
      </c>
      <c r="G308" s="5">
        <v>303</v>
      </c>
      <c r="H308" s="12">
        <f>_xlfn.XLOOKUP(Data[[#This Row],[Product]],products[Product],products[Cost per unit])</f>
        <v>5.6</v>
      </c>
      <c r="I308" s="32">
        <f>Data[[#This Row],[Cost Per Unit]]*Data[[#This Row],[Units]]</f>
        <v>1696.8</v>
      </c>
    </row>
    <row r="309" spans="3:9" x14ac:dyDescent="0.3">
      <c r="C309" t="s">
        <v>2</v>
      </c>
      <c r="D309" t="s">
        <v>39</v>
      </c>
      <c r="E309" t="s">
        <v>33</v>
      </c>
      <c r="F309" s="4">
        <v>4018</v>
      </c>
      <c r="G309" s="5">
        <v>126</v>
      </c>
      <c r="H309" s="12">
        <f>_xlfn.XLOOKUP(Data[[#This Row],[Product]],products[Product],products[Cost per unit])</f>
        <v>12.37</v>
      </c>
      <c r="I309" s="32">
        <f>Data[[#This Row],[Cost Per Unit]]*Data[[#This Row],[Units]]</f>
        <v>1558.62</v>
      </c>
    </row>
    <row r="310" spans="3:9" x14ac:dyDescent="0.3">
      <c r="C310" t="s">
        <v>41</v>
      </c>
      <c r="D310" t="s">
        <v>37</v>
      </c>
      <c r="E310" t="s">
        <v>15</v>
      </c>
      <c r="F310" s="4">
        <v>714</v>
      </c>
      <c r="G310" s="5">
        <v>231</v>
      </c>
      <c r="H310" s="12">
        <f>_xlfn.XLOOKUP(Data[[#This Row],[Product]],products[Product],products[Cost per unit])</f>
        <v>11.73</v>
      </c>
      <c r="I310" s="32">
        <f>Data[[#This Row],[Cost Per Unit]]*Data[[#This Row],[Units]]</f>
        <v>2709.63</v>
      </c>
    </row>
    <row r="311" spans="3:9" x14ac:dyDescent="0.3">
      <c r="C311" t="s">
        <v>9</v>
      </c>
      <c r="D311" t="s">
        <v>38</v>
      </c>
      <c r="E311" t="s">
        <v>25</v>
      </c>
      <c r="F311" s="4">
        <v>3850</v>
      </c>
      <c r="G311" s="5">
        <v>102</v>
      </c>
      <c r="H311" s="12">
        <f>_xlfn.XLOOKUP(Data[[#This Row],[Product]],products[Product],products[Cost per unit])</f>
        <v>13.15</v>
      </c>
      <c r="I311" s="32">
        <f>Data[[#This Row],[Cost Per Unit]]*Data[[#This Row],[Units]]</f>
        <v>1341.3</v>
      </c>
    </row>
    <row r="312" spans="3:9" x14ac:dyDescent="0.3">
      <c r="F312" s="4"/>
      <c r="G312" s="5"/>
      <c r="H312" s="5"/>
      <c r="I312" s="5"/>
    </row>
    <row r="313" spans="3:9" x14ac:dyDescent="0.3">
      <c r="F313" s="4"/>
      <c r="G313" s="5"/>
      <c r="H313" s="5"/>
      <c r="I313" s="5"/>
    </row>
    <row r="314" spans="3:9" x14ac:dyDescent="0.3">
      <c r="F314" s="4"/>
      <c r="G314" s="5"/>
      <c r="H314" s="5"/>
      <c r="I314" s="5"/>
    </row>
    <row r="315" spans="3:9" x14ac:dyDescent="0.3">
      <c r="F315" s="4"/>
      <c r="G315" s="5"/>
      <c r="H315" s="5"/>
      <c r="I315" s="5"/>
    </row>
    <row r="316" spans="3:9" x14ac:dyDescent="0.3">
      <c r="F316" s="4"/>
      <c r="G316" s="5"/>
      <c r="H316" s="5"/>
      <c r="I316" s="5"/>
    </row>
    <row r="317" spans="3:9" x14ac:dyDescent="0.3">
      <c r="F317" s="4"/>
      <c r="G317" s="5"/>
      <c r="H317" s="5"/>
      <c r="I317" s="5"/>
    </row>
    <row r="318" spans="3:9" x14ac:dyDescent="0.3">
      <c r="F318" s="4"/>
      <c r="G318" s="5"/>
      <c r="H318" s="5"/>
      <c r="I318" s="5"/>
    </row>
    <row r="319" spans="3:9" x14ac:dyDescent="0.3">
      <c r="F319" s="4"/>
      <c r="G319" s="5"/>
      <c r="H319" s="5"/>
      <c r="I319" s="5"/>
    </row>
    <row r="320" spans="3:9" x14ac:dyDescent="0.3">
      <c r="F320" s="4"/>
      <c r="G320" s="5"/>
      <c r="H320" s="5"/>
      <c r="I320" s="5"/>
    </row>
    <row r="321" spans="6:9" x14ac:dyDescent="0.3">
      <c r="F321" s="4"/>
      <c r="G321" s="5"/>
      <c r="H321" s="5"/>
      <c r="I321" s="5"/>
    </row>
    <row r="322" spans="6:9" x14ac:dyDescent="0.3">
      <c r="F322" s="4"/>
      <c r="G322" s="5"/>
      <c r="H322" s="5"/>
      <c r="I322" s="5"/>
    </row>
    <row r="323" spans="6:9" x14ac:dyDescent="0.3">
      <c r="F323" s="4"/>
      <c r="G323" s="5"/>
      <c r="H323" s="5"/>
      <c r="I323" s="5"/>
    </row>
    <row r="324" spans="6:9" x14ac:dyDescent="0.3">
      <c r="F324" s="4"/>
      <c r="G324" s="5"/>
      <c r="H324" s="5"/>
      <c r="I324" s="5"/>
    </row>
    <row r="325" spans="6:9" x14ac:dyDescent="0.3">
      <c r="F325" s="4"/>
      <c r="G325" s="5"/>
      <c r="H325" s="5"/>
      <c r="I325" s="5"/>
    </row>
    <row r="326" spans="6:9" x14ac:dyDescent="0.3">
      <c r="F326" s="4"/>
      <c r="G326" s="5"/>
      <c r="H326" s="5"/>
      <c r="I326" s="5"/>
    </row>
    <row r="327" spans="6:9" x14ac:dyDescent="0.3">
      <c r="F327" s="4"/>
      <c r="G327" s="5"/>
      <c r="H327" s="5"/>
      <c r="I327" s="5"/>
    </row>
    <row r="328" spans="6:9" x14ac:dyDescent="0.3">
      <c r="F328" s="4"/>
      <c r="G328" s="5"/>
      <c r="H328" s="5"/>
      <c r="I328" s="5"/>
    </row>
    <row r="329" spans="6:9" x14ac:dyDescent="0.3">
      <c r="F329" s="4"/>
      <c r="G329" s="5"/>
      <c r="H329" s="5"/>
      <c r="I329" s="5"/>
    </row>
    <row r="330" spans="6:9" x14ac:dyDescent="0.3">
      <c r="F330" s="4"/>
      <c r="G330" s="5"/>
      <c r="H330" s="5"/>
      <c r="I330" s="5"/>
    </row>
    <row r="331" spans="6:9" x14ac:dyDescent="0.3">
      <c r="F331" s="4"/>
      <c r="G331" s="5"/>
      <c r="H331" s="5"/>
      <c r="I331" s="5"/>
    </row>
    <row r="332" spans="6:9" x14ac:dyDescent="0.3">
      <c r="F332" s="4"/>
      <c r="G332" s="5"/>
      <c r="H332" s="5"/>
      <c r="I332" s="5"/>
    </row>
    <row r="333" spans="6:9" x14ac:dyDescent="0.3">
      <c r="F333" s="4"/>
      <c r="G333" s="5"/>
      <c r="H333" s="5"/>
      <c r="I333" s="5"/>
    </row>
    <row r="334" spans="6:9" x14ac:dyDescent="0.3">
      <c r="F334" s="4"/>
      <c r="G334" s="5"/>
      <c r="H334" s="5"/>
      <c r="I334" s="5"/>
    </row>
    <row r="335" spans="6:9" x14ac:dyDescent="0.3">
      <c r="F335" s="4"/>
      <c r="G335" s="5"/>
      <c r="H335" s="5"/>
      <c r="I335" s="5"/>
    </row>
    <row r="336" spans="6:9" x14ac:dyDescent="0.3">
      <c r="F336" s="4"/>
      <c r="G336" s="5"/>
      <c r="H336" s="5"/>
      <c r="I336" s="5"/>
    </row>
    <row r="337" spans="6:9" x14ac:dyDescent="0.3">
      <c r="F337" s="4"/>
      <c r="G337" s="5"/>
      <c r="H337" s="5"/>
      <c r="I337" s="5"/>
    </row>
    <row r="338" spans="6:9" x14ac:dyDescent="0.3">
      <c r="F338" s="4"/>
      <c r="G338" s="5"/>
      <c r="H338" s="5"/>
      <c r="I338" s="5"/>
    </row>
    <row r="339" spans="6:9" x14ac:dyDescent="0.3">
      <c r="F339" s="4"/>
      <c r="G339" s="5"/>
      <c r="H339" s="5"/>
      <c r="I339" s="5"/>
    </row>
    <row r="340" spans="6:9" x14ac:dyDescent="0.3">
      <c r="F340" s="4"/>
      <c r="G340" s="5"/>
      <c r="H340" s="5"/>
      <c r="I340" s="5"/>
    </row>
    <row r="341" spans="6:9" x14ac:dyDescent="0.3">
      <c r="F341" s="4"/>
      <c r="G341" s="5"/>
      <c r="H341" s="5"/>
      <c r="I341" s="5"/>
    </row>
    <row r="342" spans="6:9" x14ac:dyDescent="0.3">
      <c r="F342" s="4"/>
      <c r="G342" s="5"/>
      <c r="H342" s="5"/>
      <c r="I342" s="5"/>
    </row>
    <row r="343" spans="6:9" x14ac:dyDescent="0.3">
      <c r="F343" s="4"/>
      <c r="G343" s="5"/>
      <c r="H343" s="5"/>
      <c r="I343" s="5"/>
    </row>
    <row r="344" spans="6:9" x14ac:dyDescent="0.3">
      <c r="F344" s="4"/>
      <c r="G344" s="5"/>
      <c r="H344" s="5"/>
      <c r="I344" s="5"/>
    </row>
    <row r="345" spans="6:9" x14ac:dyDescent="0.3">
      <c r="F345" s="4"/>
      <c r="G345" s="5"/>
      <c r="H345" s="5"/>
      <c r="I345" s="5"/>
    </row>
    <row r="346" spans="6:9" x14ac:dyDescent="0.3">
      <c r="F346" s="4"/>
      <c r="G346" s="5"/>
      <c r="H346" s="5"/>
      <c r="I346" s="5"/>
    </row>
    <row r="347" spans="6:9" x14ac:dyDescent="0.3">
      <c r="F347" s="4"/>
      <c r="G347" s="5"/>
      <c r="H347" s="5"/>
      <c r="I347" s="5"/>
    </row>
    <row r="348" spans="6:9" x14ac:dyDescent="0.3">
      <c r="F348" s="4"/>
      <c r="G348" s="5"/>
      <c r="H348" s="5"/>
      <c r="I348" s="5"/>
    </row>
    <row r="349" spans="6:9" x14ac:dyDescent="0.3">
      <c r="F349" s="4"/>
      <c r="G349" s="5"/>
      <c r="H349" s="5"/>
      <c r="I349" s="5"/>
    </row>
    <row r="350" spans="6:9" x14ac:dyDescent="0.3">
      <c r="F350" s="4"/>
      <c r="G350" s="5"/>
      <c r="H350" s="5"/>
      <c r="I350" s="5"/>
    </row>
    <row r="351" spans="6:9" x14ac:dyDescent="0.3">
      <c r="F351" s="4"/>
      <c r="G351" s="5"/>
      <c r="H351" s="5"/>
      <c r="I351" s="5"/>
    </row>
    <row r="352" spans="6:9" x14ac:dyDescent="0.3">
      <c r="F352" s="4"/>
      <c r="G352" s="5"/>
      <c r="H352" s="5"/>
      <c r="I352" s="5"/>
    </row>
    <row r="353" spans="6:9" x14ac:dyDescent="0.3">
      <c r="F353" s="4"/>
      <c r="G353" s="5"/>
      <c r="H353" s="5"/>
      <c r="I353" s="5"/>
    </row>
    <row r="354" spans="6:9" x14ac:dyDescent="0.3">
      <c r="F354" s="4"/>
      <c r="G354" s="5"/>
      <c r="H354" s="5"/>
      <c r="I354" s="5"/>
    </row>
    <row r="355" spans="6:9" x14ac:dyDescent="0.3">
      <c r="F355" s="4"/>
      <c r="G355" s="5"/>
      <c r="H355" s="5"/>
      <c r="I355" s="5"/>
    </row>
    <row r="356" spans="6:9" x14ac:dyDescent="0.3">
      <c r="F356" s="4"/>
      <c r="G356" s="5"/>
      <c r="H356" s="5"/>
      <c r="I356" s="5"/>
    </row>
    <row r="357" spans="6:9" x14ac:dyDescent="0.3">
      <c r="F357" s="4"/>
      <c r="G357" s="5"/>
      <c r="H357" s="5"/>
      <c r="I357" s="5"/>
    </row>
    <row r="358" spans="6:9" x14ac:dyDescent="0.3">
      <c r="F358" s="4"/>
      <c r="G358" s="5"/>
      <c r="H358" s="5"/>
      <c r="I358" s="5"/>
    </row>
    <row r="359" spans="6:9" x14ac:dyDescent="0.3">
      <c r="F359" s="4"/>
      <c r="G359" s="5"/>
      <c r="H359" s="5"/>
      <c r="I359" s="5"/>
    </row>
    <row r="360" spans="6:9" x14ac:dyDescent="0.3">
      <c r="F360" s="4"/>
      <c r="G360" s="5"/>
      <c r="H360" s="5"/>
      <c r="I360" s="5"/>
    </row>
    <row r="361" spans="6:9" x14ac:dyDescent="0.3">
      <c r="F361" s="4"/>
      <c r="G361" s="5"/>
      <c r="H361" s="5"/>
      <c r="I361" s="5"/>
    </row>
    <row r="362" spans="6:9" x14ac:dyDescent="0.3">
      <c r="F362" s="4"/>
      <c r="G362" s="5"/>
      <c r="H362" s="5"/>
      <c r="I362" s="5"/>
    </row>
    <row r="363" spans="6:9" x14ac:dyDescent="0.3">
      <c r="F363" s="4"/>
      <c r="G363" s="5"/>
      <c r="H363" s="5"/>
      <c r="I363" s="5"/>
    </row>
    <row r="364" spans="6:9" x14ac:dyDescent="0.3">
      <c r="F364" s="4"/>
      <c r="G364" s="5"/>
      <c r="H364" s="5"/>
      <c r="I364" s="5"/>
    </row>
    <row r="365" spans="6:9" x14ac:dyDescent="0.3">
      <c r="F365" s="4"/>
      <c r="G365" s="5"/>
      <c r="H365" s="5"/>
      <c r="I365" s="5"/>
    </row>
    <row r="366" spans="6:9" x14ac:dyDescent="0.3">
      <c r="F366" s="4"/>
      <c r="G366" s="5"/>
      <c r="H366" s="5"/>
      <c r="I366" s="5"/>
    </row>
    <row r="367" spans="6:9" x14ac:dyDescent="0.3">
      <c r="F367" s="4"/>
      <c r="G367" s="5"/>
      <c r="H367" s="5"/>
      <c r="I367" s="5"/>
    </row>
    <row r="368" spans="6:9" x14ac:dyDescent="0.3">
      <c r="F368" s="4"/>
      <c r="G368" s="5"/>
      <c r="H368" s="5"/>
      <c r="I368" s="5"/>
    </row>
    <row r="369" spans="6:9" x14ac:dyDescent="0.3">
      <c r="F369" s="4"/>
      <c r="G369" s="5"/>
      <c r="H369" s="5"/>
      <c r="I369" s="5"/>
    </row>
    <row r="370" spans="6:9" x14ac:dyDescent="0.3">
      <c r="F370" s="4"/>
      <c r="G370" s="5"/>
      <c r="H370" s="5"/>
      <c r="I370" s="5"/>
    </row>
    <row r="371" spans="6:9" x14ac:dyDescent="0.3">
      <c r="F371" s="4"/>
      <c r="G371" s="5"/>
      <c r="H371" s="5"/>
      <c r="I371" s="5"/>
    </row>
    <row r="372" spans="6:9" x14ac:dyDescent="0.3">
      <c r="F372" s="4"/>
      <c r="G372" s="5"/>
      <c r="H372" s="5"/>
      <c r="I372" s="5"/>
    </row>
    <row r="373" spans="6:9" x14ac:dyDescent="0.3">
      <c r="F373" s="4"/>
      <c r="G373" s="5"/>
      <c r="H373" s="5"/>
      <c r="I373" s="5"/>
    </row>
    <row r="374" spans="6:9" x14ac:dyDescent="0.3">
      <c r="F374" s="4"/>
      <c r="G374" s="5"/>
      <c r="H374" s="5"/>
      <c r="I374" s="5"/>
    </row>
    <row r="375" spans="6:9" x14ac:dyDescent="0.3">
      <c r="F375" s="4"/>
      <c r="G375" s="5"/>
      <c r="H375" s="5"/>
      <c r="I375" s="5"/>
    </row>
    <row r="376" spans="6:9" x14ac:dyDescent="0.3">
      <c r="F376" s="4"/>
      <c r="G376" s="5"/>
      <c r="H376" s="5"/>
      <c r="I376" s="5"/>
    </row>
    <row r="377" spans="6:9" x14ac:dyDescent="0.3">
      <c r="F377" s="4"/>
      <c r="G377" s="5"/>
      <c r="H377" s="5"/>
      <c r="I377" s="5"/>
    </row>
    <row r="378" spans="6:9" x14ac:dyDescent="0.3">
      <c r="F378" s="4"/>
      <c r="G378" s="5"/>
      <c r="H378" s="5"/>
      <c r="I378" s="5"/>
    </row>
    <row r="379" spans="6:9" x14ac:dyDescent="0.3">
      <c r="F379" s="4"/>
      <c r="G379" s="5"/>
      <c r="H379" s="5"/>
      <c r="I379" s="5"/>
    </row>
    <row r="380" spans="6:9" x14ac:dyDescent="0.3">
      <c r="F380" s="4"/>
      <c r="G380" s="5"/>
      <c r="H380" s="5"/>
      <c r="I380" s="5"/>
    </row>
    <row r="381" spans="6:9" x14ac:dyDescent="0.3">
      <c r="F381" s="4"/>
      <c r="G381" s="5"/>
      <c r="H381" s="5"/>
      <c r="I381" s="5"/>
    </row>
    <row r="382" spans="6:9" x14ac:dyDescent="0.3">
      <c r="F382" s="4"/>
      <c r="G382" s="5"/>
      <c r="H382" s="5"/>
      <c r="I382" s="5"/>
    </row>
    <row r="383" spans="6:9" x14ac:dyDescent="0.3">
      <c r="F383" s="4"/>
      <c r="G383" s="5"/>
      <c r="H383" s="5"/>
      <c r="I383" s="5"/>
    </row>
    <row r="384" spans="6:9" x14ac:dyDescent="0.3">
      <c r="F384" s="4"/>
      <c r="G384" s="5"/>
      <c r="H384" s="5"/>
      <c r="I384" s="5"/>
    </row>
    <row r="385" spans="6:9" x14ac:dyDescent="0.3">
      <c r="F385" s="4"/>
      <c r="G385" s="5"/>
      <c r="H385" s="5"/>
      <c r="I385" s="5"/>
    </row>
    <row r="386" spans="6:9" x14ac:dyDescent="0.3">
      <c r="F386" s="4"/>
      <c r="G386" s="5"/>
      <c r="H386" s="5"/>
      <c r="I386" s="5"/>
    </row>
    <row r="387" spans="6:9" x14ac:dyDescent="0.3">
      <c r="F387" s="4"/>
      <c r="G387" s="5"/>
      <c r="H387" s="5"/>
      <c r="I387" s="5"/>
    </row>
    <row r="388" spans="6:9" x14ac:dyDescent="0.3">
      <c r="F388" s="4"/>
      <c r="G388" s="5"/>
      <c r="H388" s="5"/>
      <c r="I388" s="5"/>
    </row>
    <row r="389" spans="6:9" x14ac:dyDescent="0.3">
      <c r="F389" s="4"/>
      <c r="G389" s="5"/>
      <c r="H389" s="5"/>
      <c r="I389" s="5"/>
    </row>
    <row r="390" spans="6:9" x14ac:dyDescent="0.3">
      <c r="F390" s="4"/>
      <c r="G390" s="5"/>
      <c r="H390" s="5"/>
      <c r="I390" s="5"/>
    </row>
    <row r="391" spans="6:9" x14ac:dyDescent="0.3">
      <c r="F391" s="4"/>
      <c r="G391" s="5"/>
      <c r="H391" s="5"/>
      <c r="I391" s="5"/>
    </row>
    <row r="392" spans="6:9" x14ac:dyDescent="0.3">
      <c r="F392" s="4"/>
      <c r="G392" s="5"/>
      <c r="H392" s="5"/>
      <c r="I392" s="5"/>
    </row>
    <row r="393" spans="6:9" x14ac:dyDescent="0.3">
      <c r="F393" s="4"/>
      <c r="G393" s="5"/>
      <c r="H393" s="5"/>
      <c r="I393" s="5"/>
    </row>
    <row r="394" spans="6:9" x14ac:dyDescent="0.3">
      <c r="F394" s="4"/>
      <c r="G394" s="5"/>
      <c r="H394" s="5"/>
      <c r="I394" s="5"/>
    </row>
    <row r="395" spans="6:9" x14ac:dyDescent="0.3">
      <c r="F395" s="4"/>
      <c r="G395" s="5"/>
      <c r="H395" s="5"/>
      <c r="I395" s="5"/>
    </row>
    <row r="396" spans="6:9" x14ac:dyDescent="0.3">
      <c r="F396" s="4"/>
      <c r="G396" s="5"/>
      <c r="H396" s="5"/>
      <c r="I396" s="5"/>
    </row>
    <row r="397" spans="6:9" x14ac:dyDescent="0.3">
      <c r="F397" s="4"/>
      <c r="G397" s="5"/>
      <c r="H397" s="5"/>
      <c r="I397" s="5"/>
    </row>
    <row r="398" spans="6:9" x14ac:dyDescent="0.3">
      <c r="F398" s="4"/>
      <c r="G398" s="5"/>
      <c r="H398" s="5"/>
      <c r="I398" s="5"/>
    </row>
    <row r="399" spans="6:9" x14ac:dyDescent="0.3">
      <c r="F399" s="4"/>
      <c r="G399" s="5"/>
      <c r="H399" s="5"/>
      <c r="I399" s="5"/>
    </row>
    <row r="400" spans="6:9" x14ac:dyDescent="0.3">
      <c r="F400" s="4"/>
      <c r="G400" s="5"/>
      <c r="H400" s="5"/>
      <c r="I400" s="5"/>
    </row>
    <row r="401" spans="6:9" x14ac:dyDescent="0.3">
      <c r="F401" s="4"/>
      <c r="G401" s="5"/>
      <c r="H401" s="5"/>
      <c r="I401" s="5"/>
    </row>
    <row r="402" spans="6:9" x14ac:dyDescent="0.3">
      <c r="F402" s="4"/>
      <c r="G402" s="5"/>
      <c r="H402" s="5"/>
      <c r="I402" s="5"/>
    </row>
    <row r="403" spans="6:9" x14ac:dyDescent="0.3">
      <c r="F403" s="4"/>
      <c r="G403" s="5"/>
      <c r="H403" s="5"/>
      <c r="I403" s="5"/>
    </row>
    <row r="404" spans="6:9" x14ac:dyDescent="0.3">
      <c r="F404" s="4"/>
      <c r="G404" s="5"/>
      <c r="H404" s="5"/>
      <c r="I404" s="5"/>
    </row>
    <row r="405" spans="6:9" x14ac:dyDescent="0.3">
      <c r="F405" s="4"/>
      <c r="G405" s="5"/>
      <c r="H405" s="5"/>
      <c r="I405" s="5"/>
    </row>
    <row r="406" spans="6:9" x14ac:dyDescent="0.3">
      <c r="F406" s="4"/>
      <c r="G406" s="5"/>
      <c r="H406" s="5"/>
      <c r="I406" s="5"/>
    </row>
    <row r="407" spans="6:9" x14ac:dyDescent="0.3">
      <c r="F407" s="4"/>
      <c r="G407" s="5"/>
      <c r="H407" s="5"/>
      <c r="I407" s="5"/>
    </row>
    <row r="408" spans="6:9" x14ac:dyDescent="0.3">
      <c r="F408" s="4"/>
      <c r="G408" s="5"/>
      <c r="H408" s="5"/>
      <c r="I408" s="5"/>
    </row>
    <row r="409" spans="6:9" x14ac:dyDescent="0.3">
      <c r="F409" s="4"/>
      <c r="G409" s="5"/>
      <c r="H409" s="5"/>
      <c r="I409" s="5"/>
    </row>
    <row r="410" spans="6:9" x14ac:dyDescent="0.3">
      <c r="F410" s="4"/>
      <c r="G410" s="5"/>
      <c r="H410" s="5"/>
      <c r="I410" s="5"/>
    </row>
    <row r="411" spans="6:9" x14ac:dyDescent="0.3">
      <c r="F411" s="4"/>
      <c r="G411" s="5"/>
      <c r="H411" s="5"/>
      <c r="I411" s="5"/>
    </row>
    <row r="412" spans="6:9" x14ac:dyDescent="0.3">
      <c r="F412" s="4"/>
      <c r="G412" s="5"/>
      <c r="H412" s="5"/>
      <c r="I412" s="5"/>
    </row>
    <row r="413" spans="6:9" x14ac:dyDescent="0.3">
      <c r="F413" s="4"/>
      <c r="G413" s="5"/>
      <c r="H413" s="5"/>
      <c r="I413" s="5"/>
    </row>
    <row r="414" spans="6:9" x14ac:dyDescent="0.3">
      <c r="F414" s="4"/>
      <c r="G414" s="5"/>
      <c r="H414" s="5"/>
      <c r="I414" s="5"/>
    </row>
    <row r="415" spans="6:9" x14ac:dyDescent="0.3">
      <c r="F415" s="4"/>
      <c r="G415" s="5"/>
      <c r="H415" s="5"/>
      <c r="I415" s="5"/>
    </row>
    <row r="416" spans="6:9" x14ac:dyDescent="0.3">
      <c r="F416" s="4"/>
      <c r="G416" s="5"/>
      <c r="H416" s="5"/>
      <c r="I416" s="5"/>
    </row>
    <row r="417" spans="6:9" x14ac:dyDescent="0.3">
      <c r="F417" s="4"/>
      <c r="G417" s="5"/>
      <c r="H417" s="5"/>
      <c r="I417" s="5"/>
    </row>
    <row r="418" spans="6:9" x14ac:dyDescent="0.3">
      <c r="F418" s="4"/>
      <c r="G418" s="5"/>
      <c r="H418" s="5"/>
      <c r="I418" s="5"/>
    </row>
    <row r="419" spans="6:9" x14ac:dyDescent="0.3">
      <c r="F419" s="4"/>
      <c r="G419" s="5"/>
      <c r="H419" s="5"/>
      <c r="I419" s="5"/>
    </row>
    <row r="420" spans="6:9" x14ac:dyDescent="0.3">
      <c r="F420" s="4"/>
      <c r="G420" s="5"/>
      <c r="H420" s="5"/>
      <c r="I420" s="5"/>
    </row>
    <row r="421" spans="6:9" x14ac:dyDescent="0.3">
      <c r="F421" s="4"/>
      <c r="G421" s="5"/>
      <c r="H421" s="5"/>
      <c r="I421" s="5"/>
    </row>
    <row r="422" spans="6:9" x14ac:dyDescent="0.3">
      <c r="F422" s="4"/>
      <c r="G422" s="5"/>
      <c r="H422" s="5"/>
      <c r="I422" s="5"/>
    </row>
    <row r="423" spans="6:9" x14ac:dyDescent="0.3">
      <c r="F423" s="4"/>
      <c r="G423" s="5"/>
      <c r="H423" s="5"/>
      <c r="I423" s="5"/>
    </row>
    <row r="424" spans="6:9" x14ac:dyDescent="0.3">
      <c r="F424" s="4"/>
      <c r="G424" s="5"/>
      <c r="H424" s="5"/>
      <c r="I424" s="5"/>
    </row>
    <row r="425" spans="6:9" x14ac:dyDescent="0.3">
      <c r="F425" s="4"/>
      <c r="G425" s="5"/>
      <c r="H425" s="5"/>
      <c r="I425" s="5"/>
    </row>
    <row r="426" spans="6:9" x14ac:dyDescent="0.3">
      <c r="F426" s="4"/>
      <c r="G426" s="5"/>
      <c r="H426" s="5"/>
      <c r="I426" s="5"/>
    </row>
    <row r="427" spans="6:9" x14ac:dyDescent="0.3">
      <c r="F427" s="4"/>
      <c r="G427" s="5"/>
      <c r="H427" s="5"/>
      <c r="I427" s="5"/>
    </row>
    <row r="428" spans="6:9" x14ac:dyDescent="0.3">
      <c r="F428" s="4"/>
      <c r="G428" s="5"/>
      <c r="H428" s="5"/>
      <c r="I428" s="5"/>
    </row>
    <row r="429" spans="6:9" x14ac:dyDescent="0.3">
      <c r="F429" s="4"/>
      <c r="G429" s="5"/>
      <c r="H429" s="5"/>
      <c r="I429" s="5"/>
    </row>
    <row r="430" spans="6:9" x14ac:dyDescent="0.3">
      <c r="F430" s="4"/>
      <c r="G430" s="5"/>
      <c r="H430" s="5"/>
      <c r="I430" s="5"/>
    </row>
    <row r="431" spans="6:9" x14ac:dyDescent="0.3">
      <c r="F431" s="4"/>
      <c r="G431" s="5"/>
      <c r="H431" s="5"/>
      <c r="I431" s="5"/>
    </row>
    <row r="432" spans="6:9" x14ac:dyDescent="0.3">
      <c r="F432" s="4"/>
      <c r="G432" s="5"/>
      <c r="H432" s="5"/>
      <c r="I432" s="5"/>
    </row>
    <row r="433" spans="6:9" x14ac:dyDescent="0.3">
      <c r="F433" s="4"/>
      <c r="G433" s="5"/>
      <c r="H433" s="5"/>
      <c r="I433" s="5"/>
    </row>
    <row r="434" spans="6:9" x14ac:dyDescent="0.3">
      <c r="F434" s="4"/>
      <c r="G434" s="5"/>
      <c r="H434" s="5"/>
      <c r="I434" s="5"/>
    </row>
    <row r="435" spans="6:9" x14ac:dyDescent="0.3">
      <c r="F435" s="4"/>
      <c r="G435" s="5"/>
      <c r="H435" s="5"/>
      <c r="I435" s="5"/>
    </row>
    <row r="436" spans="6:9" x14ac:dyDescent="0.3">
      <c r="F436" s="4"/>
      <c r="G436" s="5"/>
      <c r="H436" s="5"/>
      <c r="I436" s="5"/>
    </row>
    <row r="437" spans="6:9" x14ac:dyDescent="0.3">
      <c r="F437" s="4"/>
      <c r="G437" s="5"/>
      <c r="H437" s="5"/>
      <c r="I437" s="5"/>
    </row>
    <row r="438" spans="6:9" x14ac:dyDescent="0.3">
      <c r="F438" s="4"/>
      <c r="G438" s="5"/>
      <c r="H438" s="5"/>
      <c r="I438" s="5"/>
    </row>
    <row r="439" spans="6:9" x14ac:dyDescent="0.3">
      <c r="F439" s="4"/>
      <c r="G439" s="5"/>
      <c r="H439" s="5"/>
      <c r="I439" s="5"/>
    </row>
    <row r="440" spans="6:9" x14ac:dyDescent="0.3">
      <c r="F440" s="4"/>
      <c r="G440" s="5"/>
      <c r="H440" s="5"/>
      <c r="I440" s="5"/>
    </row>
    <row r="441" spans="6:9" x14ac:dyDescent="0.3">
      <c r="F441" s="4"/>
      <c r="G441" s="5"/>
      <c r="H441" s="5"/>
      <c r="I441" s="5"/>
    </row>
    <row r="442" spans="6:9" x14ac:dyDescent="0.3">
      <c r="F442" s="4"/>
      <c r="G442" s="5"/>
      <c r="H442" s="5"/>
      <c r="I442" s="5"/>
    </row>
    <row r="443" spans="6:9" x14ac:dyDescent="0.3">
      <c r="F443" s="4"/>
      <c r="G443" s="5"/>
      <c r="H443" s="5"/>
      <c r="I443" s="5"/>
    </row>
    <row r="444" spans="6:9" x14ac:dyDescent="0.3">
      <c r="F444" s="4"/>
      <c r="G444" s="5"/>
      <c r="H444" s="5"/>
      <c r="I444" s="5"/>
    </row>
    <row r="445" spans="6:9" x14ac:dyDescent="0.3">
      <c r="F445" s="4"/>
      <c r="G445" s="5"/>
      <c r="H445" s="5"/>
      <c r="I445" s="5"/>
    </row>
    <row r="446" spans="6:9" x14ac:dyDescent="0.3">
      <c r="F446" s="4"/>
      <c r="G446" s="5"/>
      <c r="H446" s="5"/>
      <c r="I446" s="5"/>
    </row>
    <row r="447" spans="6:9" x14ac:dyDescent="0.3">
      <c r="F447" s="4"/>
      <c r="G447" s="5"/>
      <c r="H447" s="5"/>
      <c r="I447" s="5"/>
    </row>
    <row r="448" spans="6:9" x14ac:dyDescent="0.3">
      <c r="F448" s="4"/>
      <c r="G448" s="5"/>
      <c r="H448" s="5"/>
      <c r="I448" s="5"/>
    </row>
    <row r="449" spans="6:9" x14ac:dyDescent="0.3">
      <c r="F449" s="4"/>
      <c r="G449" s="5"/>
      <c r="H449" s="5"/>
      <c r="I449" s="5"/>
    </row>
    <row r="450" spans="6:9" x14ac:dyDescent="0.3">
      <c r="F450" s="4"/>
      <c r="G450" s="5"/>
      <c r="H450" s="5"/>
      <c r="I450" s="5"/>
    </row>
    <row r="451" spans="6:9" x14ac:dyDescent="0.3">
      <c r="F451" s="4"/>
      <c r="G451" s="5"/>
      <c r="H451" s="5"/>
      <c r="I451" s="5"/>
    </row>
    <row r="452" spans="6:9" x14ac:dyDescent="0.3">
      <c r="F452" s="4"/>
      <c r="G452" s="5"/>
      <c r="H452" s="5"/>
      <c r="I452" s="5"/>
    </row>
    <row r="453" spans="6:9" x14ac:dyDescent="0.3">
      <c r="F453" s="4"/>
      <c r="G453" s="5"/>
      <c r="H453" s="5"/>
      <c r="I453" s="5"/>
    </row>
    <row r="454" spans="6:9" x14ac:dyDescent="0.3">
      <c r="F454" s="4"/>
      <c r="G454" s="5"/>
      <c r="H454" s="5"/>
      <c r="I454" s="5"/>
    </row>
    <row r="455" spans="6:9" x14ac:dyDescent="0.3">
      <c r="F455" s="4"/>
      <c r="G455" s="5"/>
      <c r="H455" s="5"/>
      <c r="I455" s="5"/>
    </row>
    <row r="456" spans="6:9" x14ac:dyDescent="0.3">
      <c r="F456" s="4"/>
      <c r="G456" s="5"/>
      <c r="H456" s="5"/>
      <c r="I456" s="5"/>
    </row>
    <row r="457" spans="6:9" x14ac:dyDescent="0.3">
      <c r="F457" s="4"/>
      <c r="G457" s="5"/>
      <c r="H457" s="5"/>
      <c r="I457" s="5"/>
    </row>
    <row r="458" spans="6:9" x14ac:dyDescent="0.3">
      <c r="F458" s="4"/>
      <c r="G458" s="5"/>
      <c r="H458" s="5"/>
      <c r="I458" s="5"/>
    </row>
    <row r="459" spans="6:9" x14ac:dyDescent="0.3">
      <c r="F459" s="4"/>
      <c r="G459" s="5"/>
      <c r="H459" s="5"/>
      <c r="I459" s="5"/>
    </row>
    <row r="460" spans="6:9" x14ac:dyDescent="0.3">
      <c r="F460" s="4"/>
      <c r="G460" s="5"/>
      <c r="H460" s="5"/>
      <c r="I460" s="5"/>
    </row>
    <row r="461" spans="6:9" x14ac:dyDescent="0.3">
      <c r="F461" s="4"/>
      <c r="G461" s="5"/>
      <c r="H461" s="5"/>
      <c r="I461" s="5"/>
    </row>
    <row r="462" spans="6:9" x14ac:dyDescent="0.3">
      <c r="F462" s="4"/>
      <c r="G462" s="5"/>
      <c r="H462" s="5"/>
      <c r="I462" s="5"/>
    </row>
    <row r="463" spans="6:9" x14ac:dyDescent="0.3">
      <c r="F463" s="4"/>
      <c r="G463" s="5"/>
      <c r="H463" s="5"/>
      <c r="I463" s="5"/>
    </row>
    <row r="464" spans="6:9" x14ac:dyDescent="0.3">
      <c r="F464" s="4"/>
      <c r="G464" s="5"/>
      <c r="H464" s="5"/>
      <c r="I464" s="5"/>
    </row>
    <row r="465" spans="6:9" x14ac:dyDescent="0.3">
      <c r="F465" s="4"/>
      <c r="G465" s="5"/>
      <c r="H465" s="5"/>
      <c r="I465" s="5"/>
    </row>
    <row r="466" spans="6:9" x14ac:dyDescent="0.3">
      <c r="F466" s="4"/>
      <c r="G466" s="5"/>
      <c r="H466" s="5"/>
      <c r="I466" s="5"/>
    </row>
    <row r="467" spans="6:9" x14ac:dyDescent="0.3">
      <c r="F467" s="4"/>
      <c r="G467" s="5"/>
      <c r="H467" s="5"/>
      <c r="I467" s="5"/>
    </row>
    <row r="468" spans="6:9" x14ac:dyDescent="0.3">
      <c r="F468" s="4"/>
      <c r="G468" s="5"/>
      <c r="H468" s="5"/>
      <c r="I468" s="5"/>
    </row>
    <row r="469" spans="6:9" x14ac:dyDescent="0.3">
      <c r="F469" s="4"/>
      <c r="G469" s="5"/>
      <c r="H469" s="5"/>
      <c r="I469" s="5"/>
    </row>
    <row r="470" spans="6:9" x14ac:dyDescent="0.3">
      <c r="F470" s="4"/>
      <c r="G470" s="5"/>
      <c r="H470" s="5"/>
      <c r="I470" s="5"/>
    </row>
    <row r="471" spans="6:9" x14ac:dyDescent="0.3">
      <c r="F471" s="4"/>
      <c r="G471" s="5"/>
      <c r="H471" s="5"/>
      <c r="I471" s="5"/>
    </row>
    <row r="472" spans="6:9" x14ac:dyDescent="0.3">
      <c r="F472" s="4"/>
      <c r="G472" s="5"/>
      <c r="H472" s="5"/>
      <c r="I472" s="5"/>
    </row>
    <row r="473" spans="6:9" x14ac:dyDescent="0.3">
      <c r="F473" s="4"/>
      <c r="G473" s="5"/>
      <c r="H473" s="5"/>
      <c r="I473" s="5"/>
    </row>
    <row r="474" spans="6:9" x14ac:dyDescent="0.3">
      <c r="F474" s="4"/>
      <c r="G474" s="5"/>
      <c r="H474" s="5"/>
      <c r="I474" s="5"/>
    </row>
    <row r="475" spans="6:9" x14ac:dyDescent="0.3">
      <c r="F475" s="4"/>
      <c r="G475" s="5"/>
      <c r="H475" s="5"/>
      <c r="I475" s="5"/>
    </row>
    <row r="476" spans="6:9" x14ac:dyDescent="0.3">
      <c r="F476" s="4"/>
      <c r="G476" s="5"/>
      <c r="H476" s="5"/>
      <c r="I476" s="5"/>
    </row>
    <row r="477" spans="6:9" x14ac:dyDescent="0.3">
      <c r="F477" s="4"/>
      <c r="G477" s="5"/>
      <c r="H477" s="5"/>
      <c r="I477" s="5"/>
    </row>
    <row r="478" spans="6:9" x14ac:dyDescent="0.3">
      <c r="F478" s="4"/>
      <c r="G478" s="5"/>
      <c r="H478" s="5"/>
      <c r="I478" s="5"/>
    </row>
    <row r="479" spans="6:9" x14ac:dyDescent="0.3">
      <c r="F479" s="4"/>
      <c r="G479" s="5"/>
      <c r="H479" s="5"/>
      <c r="I479" s="5"/>
    </row>
    <row r="480" spans="6:9" x14ac:dyDescent="0.3">
      <c r="F480" s="4"/>
      <c r="G480" s="5"/>
      <c r="H480" s="5"/>
      <c r="I480" s="5"/>
    </row>
    <row r="481" spans="6:9" x14ac:dyDescent="0.3">
      <c r="F481" s="4"/>
      <c r="G481" s="5"/>
      <c r="H481" s="5"/>
      <c r="I481" s="5"/>
    </row>
    <row r="482" spans="6:9" x14ac:dyDescent="0.3">
      <c r="F482" s="4"/>
      <c r="G482" s="5"/>
      <c r="H482" s="5"/>
      <c r="I482" s="5"/>
    </row>
    <row r="483" spans="6:9" x14ac:dyDescent="0.3">
      <c r="F483" s="4"/>
      <c r="G483" s="5"/>
      <c r="H483" s="5"/>
      <c r="I483" s="5"/>
    </row>
    <row r="484" spans="6:9" x14ac:dyDescent="0.3">
      <c r="F484" s="4"/>
      <c r="G484" s="5"/>
      <c r="H484" s="5"/>
      <c r="I484" s="5"/>
    </row>
    <row r="485" spans="6:9" x14ac:dyDescent="0.3">
      <c r="F485" s="4"/>
      <c r="G485" s="5"/>
      <c r="H485" s="5"/>
      <c r="I485" s="5"/>
    </row>
    <row r="486" spans="6:9" x14ac:dyDescent="0.3">
      <c r="F486" s="4"/>
      <c r="G486" s="5"/>
      <c r="H486" s="5"/>
      <c r="I486" s="5"/>
    </row>
    <row r="487" spans="6:9" x14ac:dyDescent="0.3">
      <c r="F487" s="4"/>
      <c r="G487" s="5"/>
      <c r="H487" s="5"/>
      <c r="I487" s="5"/>
    </row>
    <row r="488" spans="6:9" x14ac:dyDescent="0.3">
      <c r="F488" s="4"/>
      <c r="G488" s="5"/>
      <c r="H488" s="5"/>
      <c r="I488" s="5"/>
    </row>
    <row r="489" spans="6:9" x14ac:dyDescent="0.3">
      <c r="F489" s="4"/>
      <c r="G489" s="5"/>
      <c r="H489" s="5"/>
      <c r="I489" s="5"/>
    </row>
    <row r="490" spans="6:9" x14ac:dyDescent="0.3">
      <c r="F490" s="4"/>
      <c r="G490" s="5"/>
      <c r="H490" s="5"/>
      <c r="I490" s="5"/>
    </row>
    <row r="491" spans="6:9" x14ac:dyDescent="0.3">
      <c r="F491" s="4"/>
      <c r="G491" s="5"/>
      <c r="H491" s="5"/>
      <c r="I491" s="5"/>
    </row>
    <row r="492" spans="6:9" x14ac:dyDescent="0.3">
      <c r="F492" s="4"/>
      <c r="G492" s="5"/>
      <c r="H492" s="5"/>
      <c r="I492" s="5"/>
    </row>
    <row r="493" spans="6:9" x14ac:dyDescent="0.3">
      <c r="F493" s="4"/>
      <c r="G493" s="5"/>
      <c r="H493" s="5"/>
      <c r="I493" s="5"/>
    </row>
    <row r="494" spans="6:9" x14ac:dyDescent="0.3">
      <c r="F494" s="4"/>
      <c r="G494" s="5"/>
      <c r="H494" s="5"/>
      <c r="I494" s="5"/>
    </row>
    <row r="495" spans="6:9" x14ac:dyDescent="0.3">
      <c r="F495" s="4"/>
      <c r="G495" s="5"/>
      <c r="H495" s="5"/>
      <c r="I495" s="5"/>
    </row>
    <row r="496" spans="6:9" x14ac:dyDescent="0.3">
      <c r="F496" s="4"/>
      <c r="G496" s="5"/>
      <c r="H496" s="5"/>
      <c r="I496" s="5"/>
    </row>
    <row r="497" spans="6:9" x14ac:dyDescent="0.3">
      <c r="F497" s="4"/>
      <c r="G497" s="5"/>
      <c r="H497" s="5"/>
      <c r="I497" s="5"/>
    </row>
    <row r="498" spans="6:9" x14ac:dyDescent="0.3">
      <c r="F498" s="4"/>
      <c r="G498" s="5"/>
      <c r="H498" s="5"/>
      <c r="I498" s="5"/>
    </row>
    <row r="499" spans="6:9" x14ac:dyDescent="0.3">
      <c r="F499" s="4"/>
      <c r="G499" s="5"/>
      <c r="H499" s="5"/>
      <c r="I499" s="5"/>
    </row>
    <row r="500" spans="6:9" x14ac:dyDescent="0.3">
      <c r="F500" s="4"/>
      <c r="G500" s="5"/>
      <c r="H500" s="5"/>
      <c r="I500" s="5"/>
    </row>
    <row r="501" spans="6:9" x14ac:dyDescent="0.3">
      <c r="F501" s="4"/>
      <c r="G501" s="5"/>
      <c r="H501" s="5"/>
      <c r="I501" s="5"/>
    </row>
    <row r="502" spans="6:9" x14ac:dyDescent="0.3">
      <c r="F502" s="4"/>
      <c r="G502" s="5"/>
      <c r="H502" s="5"/>
      <c r="I502" s="5"/>
    </row>
    <row r="503" spans="6:9" x14ac:dyDescent="0.3">
      <c r="F503" s="4"/>
      <c r="G503" s="5"/>
      <c r="H503" s="5"/>
      <c r="I503" s="5"/>
    </row>
    <row r="504" spans="6:9" x14ac:dyDescent="0.3">
      <c r="F504" s="4"/>
      <c r="G504" s="5"/>
      <c r="H504" s="5"/>
      <c r="I504" s="5"/>
    </row>
    <row r="505" spans="6:9" x14ac:dyDescent="0.3">
      <c r="F505" s="4"/>
      <c r="G505" s="5"/>
      <c r="H505" s="5"/>
      <c r="I505" s="5"/>
    </row>
    <row r="506" spans="6:9" x14ac:dyDescent="0.3">
      <c r="F506" s="4"/>
      <c r="G506" s="5"/>
      <c r="H506" s="5"/>
      <c r="I506" s="5"/>
    </row>
    <row r="507" spans="6:9" x14ac:dyDescent="0.3">
      <c r="F507" s="4"/>
      <c r="G507" s="5"/>
      <c r="H507" s="5"/>
      <c r="I507" s="5"/>
    </row>
    <row r="508" spans="6:9" x14ac:dyDescent="0.3">
      <c r="F508" s="4"/>
      <c r="G508" s="5"/>
      <c r="H508" s="5"/>
      <c r="I508" s="5"/>
    </row>
    <row r="509" spans="6:9" x14ac:dyDescent="0.3">
      <c r="F509" s="4"/>
      <c r="G509" s="5"/>
      <c r="H509" s="5"/>
      <c r="I509" s="5"/>
    </row>
    <row r="510" spans="6:9" x14ac:dyDescent="0.3">
      <c r="F510" s="4"/>
      <c r="G510" s="5"/>
      <c r="H510" s="5"/>
      <c r="I510" s="5"/>
    </row>
    <row r="511" spans="6:9" x14ac:dyDescent="0.3">
      <c r="F511" s="4"/>
      <c r="G511" s="5"/>
      <c r="H511" s="5"/>
      <c r="I511" s="5"/>
    </row>
    <row r="512" spans="6:9" x14ac:dyDescent="0.3">
      <c r="F512" s="4"/>
      <c r="G512" s="5"/>
      <c r="H512" s="5"/>
      <c r="I512" s="5"/>
    </row>
    <row r="513" spans="6:9" x14ac:dyDescent="0.3">
      <c r="F513" s="4"/>
      <c r="G513" s="5"/>
      <c r="H513" s="5"/>
      <c r="I513" s="5"/>
    </row>
    <row r="514" spans="6:9" x14ac:dyDescent="0.3">
      <c r="F514" s="4"/>
      <c r="G514" s="5"/>
      <c r="H514" s="5"/>
      <c r="I514" s="5"/>
    </row>
    <row r="515" spans="6:9" x14ac:dyDescent="0.3">
      <c r="F515" s="4"/>
      <c r="G515" s="5"/>
      <c r="H515" s="5"/>
      <c r="I515" s="5"/>
    </row>
    <row r="516" spans="6:9" x14ac:dyDescent="0.3">
      <c r="F516" s="4"/>
      <c r="G516" s="5"/>
      <c r="H516" s="5"/>
      <c r="I516" s="5"/>
    </row>
    <row r="517" spans="6:9" x14ac:dyDescent="0.3">
      <c r="F517" s="4"/>
      <c r="G517" s="5"/>
      <c r="H517" s="5"/>
      <c r="I517" s="5"/>
    </row>
    <row r="518" spans="6:9" x14ac:dyDescent="0.3">
      <c r="F518" s="4"/>
      <c r="G518" s="5"/>
      <c r="H518" s="5"/>
      <c r="I518" s="5"/>
    </row>
    <row r="519" spans="6:9" x14ac:dyDescent="0.3">
      <c r="F519" s="4"/>
      <c r="G519" s="5"/>
      <c r="H519" s="5"/>
      <c r="I519" s="5"/>
    </row>
    <row r="520" spans="6:9" x14ac:dyDescent="0.3">
      <c r="F520" s="4"/>
      <c r="G520" s="5"/>
      <c r="H520" s="5"/>
      <c r="I520" s="5"/>
    </row>
    <row r="521" spans="6:9" x14ac:dyDescent="0.3">
      <c r="F521" s="4"/>
      <c r="G521" s="5"/>
      <c r="H521" s="5"/>
      <c r="I521" s="5"/>
    </row>
    <row r="522" spans="6:9" x14ac:dyDescent="0.3">
      <c r="F522" s="4"/>
      <c r="G522" s="5"/>
      <c r="H522" s="5"/>
      <c r="I522" s="5"/>
    </row>
    <row r="523" spans="6:9" x14ac:dyDescent="0.3">
      <c r="F523" s="4"/>
      <c r="G523" s="5"/>
      <c r="H523" s="5"/>
      <c r="I523" s="5"/>
    </row>
    <row r="524" spans="6:9" x14ac:dyDescent="0.3">
      <c r="F524" s="4"/>
      <c r="G524" s="5"/>
      <c r="H524" s="5"/>
      <c r="I524" s="5"/>
    </row>
    <row r="525" spans="6:9" x14ac:dyDescent="0.3">
      <c r="F525" s="4"/>
      <c r="G525" s="5"/>
      <c r="H525" s="5"/>
      <c r="I525" s="5"/>
    </row>
    <row r="526" spans="6:9" x14ac:dyDescent="0.3">
      <c r="F526" s="4"/>
      <c r="G526" s="5"/>
      <c r="H526" s="5"/>
      <c r="I526" s="5"/>
    </row>
    <row r="527" spans="6:9" x14ac:dyDescent="0.3">
      <c r="F527" s="4"/>
      <c r="G527" s="5"/>
      <c r="H527" s="5"/>
      <c r="I527" s="5"/>
    </row>
    <row r="528" spans="6:9" x14ac:dyDescent="0.3">
      <c r="F528" s="4"/>
      <c r="G528" s="5"/>
      <c r="H528" s="5"/>
      <c r="I528" s="5"/>
    </row>
    <row r="529" spans="6:9" x14ac:dyDescent="0.3">
      <c r="F529" s="4"/>
      <c r="G529" s="5"/>
      <c r="H529" s="5"/>
      <c r="I529" s="5"/>
    </row>
    <row r="530" spans="6:9" x14ac:dyDescent="0.3">
      <c r="F530" s="4"/>
      <c r="G530" s="5"/>
      <c r="H530" s="5"/>
      <c r="I530" s="5"/>
    </row>
    <row r="531" spans="6:9" x14ac:dyDescent="0.3">
      <c r="F531" s="4"/>
      <c r="G531" s="5"/>
      <c r="H531" s="5"/>
      <c r="I531" s="5"/>
    </row>
    <row r="532" spans="6:9" x14ac:dyDescent="0.3">
      <c r="F532" s="4"/>
      <c r="G532" s="5"/>
      <c r="H532" s="5"/>
      <c r="I532" s="5"/>
    </row>
    <row r="533" spans="6:9" x14ac:dyDescent="0.3">
      <c r="F533" s="4"/>
      <c r="G533" s="5"/>
      <c r="H533" s="5"/>
      <c r="I533" s="5"/>
    </row>
    <row r="534" spans="6:9" x14ac:dyDescent="0.3">
      <c r="F534" s="4"/>
      <c r="G534" s="5"/>
      <c r="H534" s="5"/>
      <c r="I534" s="5"/>
    </row>
    <row r="535" spans="6:9" x14ac:dyDescent="0.3">
      <c r="F535" s="4"/>
      <c r="G535" s="5"/>
      <c r="H535" s="5"/>
      <c r="I535" s="5"/>
    </row>
    <row r="536" spans="6:9" x14ac:dyDescent="0.3">
      <c r="F536" s="4"/>
      <c r="G536" s="5"/>
      <c r="H536" s="5"/>
      <c r="I536" s="5"/>
    </row>
    <row r="537" spans="6:9" x14ac:dyDescent="0.3">
      <c r="F537" s="4"/>
      <c r="G537" s="5"/>
      <c r="H537" s="5"/>
      <c r="I537" s="5"/>
    </row>
    <row r="538" spans="6:9" x14ac:dyDescent="0.3">
      <c r="F538" s="4"/>
      <c r="G538" s="5"/>
      <c r="H538" s="5"/>
      <c r="I538" s="5"/>
    </row>
    <row r="539" spans="6:9" x14ac:dyDescent="0.3">
      <c r="F539" s="4"/>
      <c r="G539" s="5"/>
      <c r="H539" s="5"/>
      <c r="I539" s="5"/>
    </row>
    <row r="540" spans="6:9" x14ac:dyDescent="0.3">
      <c r="F540" s="4"/>
      <c r="G540" s="5"/>
      <c r="H540" s="5"/>
      <c r="I540" s="5"/>
    </row>
    <row r="541" spans="6:9" x14ac:dyDescent="0.3">
      <c r="F541" s="4"/>
      <c r="G541" s="5"/>
      <c r="H541" s="5"/>
      <c r="I541" s="5"/>
    </row>
    <row r="542" spans="6:9" x14ac:dyDescent="0.3">
      <c r="F542" s="4"/>
      <c r="G542" s="5"/>
      <c r="H542" s="5"/>
      <c r="I542" s="5"/>
    </row>
    <row r="543" spans="6:9" x14ac:dyDescent="0.3">
      <c r="F543" s="4"/>
      <c r="G543" s="5"/>
      <c r="H543" s="5"/>
      <c r="I543" s="5"/>
    </row>
    <row r="544" spans="6:9" x14ac:dyDescent="0.3">
      <c r="F544" s="4"/>
      <c r="G544" s="5"/>
      <c r="H544" s="5"/>
      <c r="I544" s="5"/>
    </row>
    <row r="545" spans="6:9" x14ac:dyDescent="0.3">
      <c r="F545" s="4"/>
      <c r="G545" s="5"/>
      <c r="H545" s="5"/>
      <c r="I545" s="5"/>
    </row>
    <row r="546" spans="6:9" x14ac:dyDescent="0.3">
      <c r="F546" s="4"/>
      <c r="G546" s="5"/>
      <c r="H546" s="5"/>
      <c r="I546" s="5"/>
    </row>
    <row r="547" spans="6:9" x14ac:dyDescent="0.3">
      <c r="F547" s="4"/>
      <c r="G547" s="5"/>
      <c r="H547" s="5"/>
      <c r="I547" s="5"/>
    </row>
    <row r="548" spans="6:9" x14ac:dyDescent="0.3">
      <c r="F548" s="4"/>
      <c r="G548" s="5"/>
      <c r="H548" s="5"/>
      <c r="I548" s="5"/>
    </row>
    <row r="549" spans="6:9" x14ac:dyDescent="0.3">
      <c r="F549" s="4"/>
      <c r="G549" s="5"/>
      <c r="H549" s="5"/>
      <c r="I549" s="5"/>
    </row>
    <row r="550" spans="6:9" x14ac:dyDescent="0.3">
      <c r="F550" s="4"/>
      <c r="G550" s="5"/>
      <c r="H550" s="5"/>
      <c r="I550" s="5"/>
    </row>
    <row r="551" spans="6:9" x14ac:dyDescent="0.3">
      <c r="F551" s="4"/>
      <c r="G551" s="5"/>
      <c r="H551" s="5"/>
      <c r="I551" s="5"/>
    </row>
    <row r="552" spans="6:9" x14ac:dyDescent="0.3">
      <c r="F552" s="4"/>
      <c r="G552" s="5"/>
      <c r="H552" s="5"/>
      <c r="I552" s="5"/>
    </row>
    <row r="553" spans="6:9" x14ac:dyDescent="0.3">
      <c r="F553" s="4"/>
      <c r="G553" s="5"/>
      <c r="H553" s="5"/>
      <c r="I553" s="5"/>
    </row>
    <row r="554" spans="6:9" x14ac:dyDescent="0.3">
      <c r="F554" s="4"/>
      <c r="G554" s="5"/>
      <c r="H554" s="5"/>
      <c r="I554" s="5"/>
    </row>
    <row r="555" spans="6:9" x14ac:dyDescent="0.3">
      <c r="F555" s="4"/>
      <c r="G555" s="5"/>
      <c r="H555" s="5"/>
      <c r="I555" s="5"/>
    </row>
    <row r="556" spans="6:9" x14ac:dyDescent="0.3">
      <c r="F556" s="4"/>
      <c r="G556" s="5"/>
      <c r="H556" s="5"/>
      <c r="I556" s="5"/>
    </row>
    <row r="557" spans="6:9" x14ac:dyDescent="0.3">
      <c r="F557" s="4"/>
      <c r="G557" s="5"/>
      <c r="H557" s="5"/>
      <c r="I557" s="5"/>
    </row>
    <row r="558" spans="6:9" x14ac:dyDescent="0.3">
      <c r="F558" s="4"/>
      <c r="G558" s="5"/>
      <c r="H558" s="5"/>
      <c r="I558" s="5"/>
    </row>
    <row r="559" spans="6:9" x14ac:dyDescent="0.3">
      <c r="F559" s="4"/>
      <c r="G559" s="5"/>
      <c r="H559" s="5"/>
      <c r="I559" s="5"/>
    </row>
    <row r="560" spans="6:9" x14ac:dyDescent="0.3">
      <c r="F560" s="4"/>
      <c r="G560" s="5"/>
      <c r="H560" s="5"/>
      <c r="I560" s="5"/>
    </row>
    <row r="561" spans="6:9" x14ac:dyDescent="0.3">
      <c r="F561" s="4"/>
      <c r="G561" s="5"/>
      <c r="H561" s="5"/>
      <c r="I561" s="5"/>
    </row>
    <row r="562" spans="6:9" x14ac:dyDescent="0.3">
      <c r="F562" s="4"/>
      <c r="G562" s="5"/>
      <c r="H562" s="5"/>
      <c r="I562" s="5"/>
    </row>
    <row r="563" spans="6:9" x14ac:dyDescent="0.3">
      <c r="F563" s="4"/>
      <c r="G563" s="5"/>
      <c r="H563" s="5"/>
      <c r="I563" s="5"/>
    </row>
    <row r="564" spans="6:9" x14ac:dyDescent="0.3">
      <c r="F564" s="4"/>
      <c r="G564" s="5"/>
      <c r="H564" s="5"/>
      <c r="I564" s="5"/>
    </row>
    <row r="565" spans="6:9" x14ac:dyDescent="0.3">
      <c r="F565" s="4"/>
      <c r="G565" s="5"/>
      <c r="H565" s="5"/>
      <c r="I565" s="5"/>
    </row>
    <row r="566" spans="6:9" x14ac:dyDescent="0.3">
      <c r="F566" s="4"/>
      <c r="G566" s="5"/>
      <c r="H566" s="5"/>
      <c r="I566" s="5"/>
    </row>
    <row r="567" spans="6:9" x14ac:dyDescent="0.3">
      <c r="F567" s="4"/>
      <c r="G567" s="5"/>
      <c r="H567" s="5"/>
      <c r="I567" s="5"/>
    </row>
    <row r="568" spans="6:9" x14ac:dyDescent="0.3">
      <c r="F568" s="4"/>
      <c r="G568" s="5"/>
      <c r="H568" s="5"/>
      <c r="I568" s="5"/>
    </row>
    <row r="569" spans="6:9" x14ac:dyDescent="0.3">
      <c r="F569" s="4"/>
      <c r="G569" s="5"/>
      <c r="H569" s="5"/>
      <c r="I569" s="5"/>
    </row>
    <row r="570" spans="6:9" x14ac:dyDescent="0.3">
      <c r="F570" s="4"/>
      <c r="G570" s="5"/>
      <c r="H570" s="5"/>
      <c r="I570" s="5"/>
    </row>
    <row r="571" spans="6:9" x14ac:dyDescent="0.3">
      <c r="F571" s="4"/>
      <c r="G571" s="5"/>
      <c r="H571" s="5"/>
      <c r="I571" s="5"/>
    </row>
    <row r="572" spans="6:9" x14ac:dyDescent="0.3">
      <c r="F572" s="4"/>
      <c r="G572" s="5"/>
      <c r="H572" s="5"/>
      <c r="I572" s="5"/>
    </row>
    <row r="573" spans="6:9" x14ac:dyDescent="0.3">
      <c r="F573" s="4"/>
      <c r="G573" s="5"/>
      <c r="H573" s="5"/>
      <c r="I573" s="5"/>
    </row>
    <row r="574" spans="6:9" x14ac:dyDescent="0.3">
      <c r="F574" s="4"/>
      <c r="G574" s="5"/>
      <c r="H574" s="5"/>
      <c r="I574" s="5"/>
    </row>
    <row r="575" spans="6:9" x14ac:dyDescent="0.3">
      <c r="F575" s="4"/>
      <c r="G575" s="5"/>
      <c r="H575" s="5"/>
      <c r="I575" s="5"/>
    </row>
    <row r="576" spans="6:9" x14ac:dyDescent="0.3">
      <c r="F576" s="4"/>
      <c r="G576" s="5"/>
      <c r="H576" s="5"/>
      <c r="I576" s="5"/>
    </row>
    <row r="577" spans="6:9" x14ac:dyDescent="0.3">
      <c r="F577" s="4"/>
      <c r="G577" s="5"/>
      <c r="H577" s="5"/>
      <c r="I577" s="5"/>
    </row>
    <row r="578" spans="6:9" x14ac:dyDescent="0.3">
      <c r="F578" s="4"/>
      <c r="G578" s="5"/>
      <c r="H578" s="5"/>
      <c r="I578" s="5"/>
    </row>
    <row r="579" spans="6:9" x14ac:dyDescent="0.3">
      <c r="F579" s="4"/>
      <c r="G579" s="5"/>
      <c r="H579" s="5"/>
      <c r="I579" s="5"/>
    </row>
    <row r="580" spans="6:9" x14ac:dyDescent="0.3">
      <c r="F580" s="4"/>
      <c r="G580" s="5"/>
      <c r="H580" s="5"/>
      <c r="I580" s="5"/>
    </row>
    <row r="581" spans="6:9" x14ac:dyDescent="0.3">
      <c r="F581" s="4"/>
      <c r="G581" s="5"/>
      <c r="H581" s="5"/>
      <c r="I581" s="5"/>
    </row>
    <row r="582" spans="6:9" x14ac:dyDescent="0.3">
      <c r="F582" s="4"/>
      <c r="G582" s="5"/>
      <c r="H582" s="5"/>
      <c r="I582" s="5"/>
    </row>
    <row r="583" spans="6:9" x14ac:dyDescent="0.3">
      <c r="F583" s="4"/>
      <c r="G583" s="5"/>
      <c r="H583" s="5"/>
      <c r="I583" s="5"/>
    </row>
    <row r="584" spans="6:9" x14ac:dyDescent="0.3">
      <c r="F584" s="4"/>
      <c r="G584" s="5"/>
      <c r="H584" s="5"/>
      <c r="I584" s="5"/>
    </row>
    <row r="585" spans="6:9" x14ac:dyDescent="0.3">
      <c r="F585" s="4"/>
      <c r="G585" s="5"/>
      <c r="H585" s="5"/>
      <c r="I585" s="5"/>
    </row>
    <row r="586" spans="6:9" x14ac:dyDescent="0.3">
      <c r="F586" s="4"/>
      <c r="G586" s="5"/>
      <c r="H586" s="5"/>
      <c r="I586" s="5"/>
    </row>
    <row r="587" spans="6:9" x14ac:dyDescent="0.3">
      <c r="F587" s="4"/>
      <c r="G587" s="5"/>
      <c r="H587" s="5"/>
      <c r="I587" s="5"/>
    </row>
    <row r="588" spans="6:9" x14ac:dyDescent="0.3">
      <c r="F588" s="4"/>
      <c r="G588" s="5"/>
      <c r="H588" s="5"/>
      <c r="I588" s="5"/>
    </row>
    <row r="589" spans="6:9" x14ac:dyDescent="0.3">
      <c r="F589" s="4"/>
      <c r="G589" s="5"/>
      <c r="H589" s="5"/>
      <c r="I589" s="5"/>
    </row>
    <row r="590" spans="6:9" x14ac:dyDescent="0.3">
      <c r="F590" s="4"/>
      <c r="G590" s="5"/>
      <c r="H590" s="5"/>
      <c r="I590" s="5"/>
    </row>
    <row r="591" spans="6:9" x14ac:dyDescent="0.3">
      <c r="F591" s="4"/>
      <c r="G591" s="5"/>
      <c r="H591" s="5"/>
      <c r="I591" s="5"/>
    </row>
    <row r="592" spans="6:9" x14ac:dyDescent="0.3">
      <c r="F592" s="4"/>
      <c r="G592" s="5"/>
      <c r="H592" s="5"/>
      <c r="I592" s="5"/>
    </row>
    <row r="593" spans="6:9" x14ac:dyDescent="0.3">
      <c r="F593" s="4"/>
      <c r="G593" s="5"/>
      <c r="H593" s="5"/>
      <c r="I593" s="5"/>
    </row>
    <row r="594" spans="6:9" x14ac:dyDescent="0.3">
      <c r="F594" s="4"/>
      <c r="G594" s="5"/>
      <c r="H594" s="5"/>
      <c r="I594" s="5"/>
    </row>
    <row r="595" spans="6:9" x14ac:dyDescent="0.3">
      <c r="F595" s="4"/>
      <c r="G595" s="5"/>
      <c r="H595" s="5"/>
      <c r="I595" s="5"/>
    </row>
    <row r="596" spans="6:9" x14ac:dyDescent="0.3">
      <c r="F596" s="4"/>
      <c r="G596" s="5"/>
      <c r="H596" s="5"/>
      <c r="I596" s="5"/>
    </row>
    <row r="597" spans="6:9" x14ac:dyDescent="0.3">
      <c r="F597" s="4"/>
      <c r="G597" s="5"/>
      <c r="H597" s="5"/>
      <c r="I597" s="5"/>
    </row>
    <row r="598" spans="6:9" x14ac:dyDescent="0.3">
      <c r="F598" s="4"/>
      <c r="G598" s="5"/>
      <c r="H598" s="5"/>
      <c r="I598" s="5"/>
    </row>
    <row r="599" spans="6:9" x14ac:dyDescent="0.3">
      <c r="F599" s="4"/>
      <c r="G599" s="5"/>
      <c r="H599" s="5"/>
      <c r="I599" s="5"/>
    </row>
    <row r="600" spans="6:9" x14ac:dyDescent="0.3">
      <c r="F600" s="4"/>
      <c r="G600" s="5"/>
      <c r="H600" s="5"/>
      <c r="I600" s="5"/>
    </row>
    <row r="601" spans="6:9" x14ac:dyDescent="0.3">
      <c r="F601" s="4"/>
      <c r="G601" s="5"/>
      <c r="H601" s="5"/>
      <c r="I601" s="5"/>
    </row>
    <row r="602" spans="6:9" x14ac:dyDescent="0.3">
      <c r="F602" s="4"/>
      <c r="G602" s="5"/>
      <c r="H602" s="5"/>
      <c r="I602" s="5"/>
    </row>
    <row r="603" spans="6:9" x14ac:dyDescent="0.3">
      <c r="F603" s="4"/>
      <c r="G603" s="5"/>
      <c r="H603" s="5"/>
      <c r="I603" s="5"/>
    </row>
    <row r="604" spans="6:9" x14ac:dyDescent="0.3">
      <c r="F604" s="4"/>
      <c r="G604" s="5"/>
      <c r="H604" s="5"/>
      <c r="I604" s="5"/>
    </row>
    <row r="605" spans="6:9" x14ac:dyDescent="0.3">
      <c r="F605" s="4"/>
      <c r="G605" s="5"/>
      <c r="H605" s="5"/>
      <c r="I605" s="5"/>
    </row>
    <row r="606" spans="6:9" x14ac:dyDescent="0.3">
      <c r="F606" s="4"/>
      <c r="G606" s="5"/>
      <c r="H606" s="5"/>
      <c r="I606" s="5"/>
    </row>
    <row r="607" spans="6:9" x14ac:dyDescent="0.3">
      <c r="F607" s="4"/>
      <c r="G607" s="5"/>
      <c r="H607" s="5"/>
      <c r="I607" s="5"/>
    </row>
    <row r="608" spans="6:9" x14ac:dyDescent="0.3">
      <c r="F608" s="4"/>
      <c r="G608" s="5"/>
      <c r="H608" s="5"/>
      <c r="I608" s="5"/>
    </row>
    <row r="609" spans="6:9" x14ac:dyDescent="0.3">
      <c r="F609" s="4"/>
      <c r="G609" s="5"/>
      <c r="H609" s="5"/>
      <c r="I609" s="5"/>
    </row>
    <row r="610" spans="6:9" x14ac:dyDescent="0.3">
      <c r="F610" s="4"/>
      <c r="G610" s="5"/>
      <c r="H610" s="5"/>
      <c r="I610" s="5"/>
    </row>
    <row r="611" spans="6:9" x14ac:dyDescent="0.3">
      <c r="F611" s="4"/>
      <c r="G611" s="5"/>
      <c r="H611" s="5"/>
      <c r="I611" s="5"/>
    </row>
    <row r="612" spans="6:9" x14ac:dyDescent="0.3">
      <c r="F612" s="4"/>
      <c r="G612" s="5"/>
      <c r="H612" s="5"/>
      <c r="I612" s="5"/>
    </row>
    <row r="613" spans="6:9" x14ac:dyDescent="0.3">
      <c r="F613" s="4"/>
      <c r="G613" s="5"/>
      <c r="H613" s="5"/>
      <c r="I613" s="5"/>
    </row>
    <row r="614" spans="6:9" x14ac:dyDescent="0.3">
      <c r="F614" s="4"/>
      <c r="G614" s="5"/>
      <c r="H614" s="5"/>
      <c r="I614" s="5"/>
    </row>
    <row r="615" spans="6:9" x14ac:dyDescent="0.3">
      <c r="F615" s="4"/>
      <c r="G615" s="5"/>
      <c r="H615" s="5"/>
      <c r="I615" s="5"/>
    </row>
    <row r="616" spans="6:9" x14ac:dyDescent="0.3">
      <c r="F616" s="4"/>
      <c r="G616" s="5"/>
      <c r="H616" s="5"/>
      <c r="I616" s="5"/>
    </row>
    <row r="617" spans="6:9" x14ac:dyDescent="0.3">
      <c r="F617" s="4"/>
      <c r="G617" s="5"/>
      <c r="H617" s="5"/>
      <c r="I617" s="5"/>
    </row>
    <row r="618" spans="6:9" x14ac:dyDescent="0.3">
      <c r="F618" s="4"/>
      <c r="G618" s="5"/>
      <c r="H618" s="5"/>
      <c r="I618" s="5"/>
    </row>
    <row r="619" spans="6:9" x14ac:dyDescent="0.3">
      <c r="F619" s="4"/>
      <c r="G619" s="5"/>
      <c r="H619" s="5"/>
      <c r="I619" s="5"/>
    </row>
    <row r="620" spans="6:9" x14ac:dyDescent="0.3">
      <c r="F620" s="4"/>
      <c r="G620" s="5"/>
      <c r="H620" s="5"/>
      <c r="I620" s="5"/>
    </row>
    <row r="621" spans="6:9" x14ac:dyDescent="0.3">
      <c r="F621" s="4"/>
      <c r="G621" s="5"/>
      <c r="H621" s="5"/>
      <c r="I621" s="5"/>
    </row>
    <row r="622" spans="6:9" x14ac:dyDescent="0.3">
      <c r="F622" s="4"/>
      <c r="G622" s="5"/>
      <c r="H622" s="5"/>
      <c r="I622" s="5"/>
    </row>
    <row r="623" spans="6:9" x14ac:dyDescent="0.3">
      <c r="F623" s="4"/>
      <c r="G623" s="5"/>
      <c r="H623" s="5"/>
      <c r="I623" s="5"/>
    </row>
    <row r="624" spans="6:9" x14ac:dyDescent="0.3">
      <c r="F624" s="4"/>
      <c r="G624" s="5"/>
      <c r="H624" s="5"/>
      <c r="I624" s="5"/>
    </row>
    <row r="625" spans="6:9" x14ac:dyDescent="0.3">
      <c r="F625" s="4"/>
      <c r="G625" s="5"/>
      <c r="H625" s="5"/>
      <c r="I625" s="5"/>
    </row>
    <row r="626" spans="6:9" x14ac:dyDescent="0.3">
      <c r="F626" s="4"/>
      <c r="G626" s="5"/>
      <c r="H626" s="5"/>
      <c r="I626" s="5"/>
    </row>
    <row r="627" spans="6:9" x14ac:dyDescent="0.3">
      <c r="F627" s="4"/>
      <c r="G627" s="5"/>
      <c r="H627" s="5"/>
      <c r="I627" s="5"/>
    </row>
    <row r="628" spans="6:9" x14ac:dyDescent="0.3">
      <c r="F628" s="4"/>
      <c r="G628" s="5"/>
      <c r="H628" s="5"/>
      <c r="I628" s="5"/>
    </row>
    <row r="629" spans="6:9" x14ac:dyDescent="0.3">
      <c r="F629" s="4"/>
      <c r="G629" s="5"/>
      <c r="H629" s="5"/>
      <c r="I629" s="5"/>
    </row>
    <row r="630" spans="6:9" x14ac:dyDescent="0.3">
      <c r="F630" s="4"/>
      <c r="G630" s="5"/>
      <c r="H630" s="5"/>
      <c r="I630" s="5"/>
    </row>
    <row r="631" spans="6:9" x14ac:dyDescent="0.3">
      <c r="F631" s="4"/>
      <c r="G631" s="5"/>
      <c r="H631" s="5"/>
      <c r="I631" s="5"/>
    </row>
    <row r="632" spans="6:9" x14ac:dyDescent="0.3">
      <c r="F632" s="4"/>
      <c r="G632" s="5"/>
      <c r="H632" s="5"/>
      <c r="I632" s="5"/>
    </row>
    <row r="633" spans="6:9" x14ac:dyDescent="0.3">
      <c r="F633" s="4"/>
      <c r="G633" s="5"/>
      <c r="H633" s="5"/>
      <c r="I633" s="5"/>
    </row>
    <row r="634" spans="6:9" x14ac:dyDescent="0.3">
      <c r="F634" s="4"/>
      <c r="G634" s="5"/>
      <c r="H634" s="5"/>
      <c r="I634" s="5"/>
    </row>
    <row r="635" spans="6:9" x14ac:dyDescent="0.3">
      <c r="F635" s="4"/>
      <c r="G635" s="5"/>
      <c r="H635" s="5"/>
      <c r="I635" s="5"/>
    </row>
    <row r="636" spans="6:9" x14ac:dyDescent="0.3">
      <c r="F636" s="4"/>
      <c r="G636" s="5"/>
      <c r="H636" s="5"/>
      <c r="I636" s="5"/>
    </row>
    <row r="637" spans="6:9" x14ac:dyDescent="0.3">
      <c r="F637" s="4"/>
      <c r="G637" s="5"/>
      <c r="H637" s="5"/>
      <c r="I637" s="5"/>
    </row>
    <row r="638" spans="6:9" x14ac:dyDescent="0.3">
      <c r="F638" s="4"/>
      <c r="G638" s="5"/>
      <c r="H638" s="5"/>
      <c r="I638" s="5"/>
    </row>
    <row r="639" spans="6:9" x14ac:dyDescent="0.3">
      <c r="F639" s="4"/>
      <c r="G639" s="5"/>
      <c r="H639" s="5"/>
      <c r="I639" s="5"/>
    </row>
    <row r="640" spans="6:9" x14ac:dyDescent="0.3">
      <c r="F640" s="4"/>
      <c r="G640" s="5"/>
      <c r="H640" s="5"/>
      <c r="I640" s="5"/>
    </row>
    <row r="641" spans="6:9" x14ac:dyDescent="0.3">
      <c r="F641" s="4"/>
      <c r="G641" s="5"/>
      <c r="H641" s="5"/>
      <c r="I641" s="5"/>
    </row>
    <row r="642" spans="6:9" x14ac:dyDescent="0.3">
      <c r="F642" s="4"/>
      <c r="G642" s="5"/>
      <c r="H642" s="5"/>
      <c r="I642" s="5"/>
    </row>
    <row r="643" spans="6:9" x14ac:dyDescent="0.3">
      <c r="F643" s="4"/>
      <c r="G643" s="5"/>
      <c r="H643" s="5"/>
      <c r="I643" s="5"/>
    </row>
    <row r="644" spans="6:9" x14ac:dyDescent="0.3">
      <c r="F644" s="4"/>
      <c r="G644" s="5"/>
      <c r="H644" s="5"/>
      <c r="I644" s="5"/>
    </row>
    <row r="645" spans="6:9" x14ac:dyDescent="0.3">
      <c r="F645" s="4"/>
      <c r="G645" s="5"/>
      <c r="H645" s="5"/>
      <c r="I645" s="5"/>
    </row>
    <row r="646" spans="6:9" x14ac:dyDescent="0.3">
      <c r="F646" s="4"/>
      <c r="G646" s="5"/>
      <c r="H646" s="5"/>
      <c r="I646" s="5"/>
    </row>
    <row r="647" spans="6:9" x14ac:dyDescent="0.3">
      <c r="F647" s="4"/>
      <c r="G647" s="5"/>
      <c r="H647" s="5"/>
      <c r="I647" s="5"/>
    </row>
    <row r="648" spans="6:9" x14ac:dyDescent="0.3">
      <c r="F648" s="4"/>
      <c r="G648" s="5"/>
      <c r="H648" s="5"/>
      <c r="I648" s="5"/>
    </row>
    <row r="649" spans="6:9" x14ac:dyDescent="0.3">
      <c r="F649" s="4"/>
      <c r="G649" s="5"/>
      <c r="H649" s="5"/>
      <c r="I649" s="5"/>
    </row>
    <row r="650" spans="6:9" x14ac:dyDescent="0.3">
      <c r="F650" s="4"/>
      <c r="G650" s="5"/>
      <c r="H650" s="5"/>
      <c r="I650" s="5"/>
    </row>
    <row r="651" spans="6:9" x14ac:dyDescent="0.3">
      <c r="F651" s="4"/>
      <c r="G651" s="5"/>
      <c r="H651" s="5"/>
      <c r="I651" s="5"/>
    </row>
    <row r="652" spans="6:9" x14ac:dyDescent="0.3">
      <c r="F652" s="4"/>
      <c r="G652" s="5"/>
      <c r="H652" s="5"/>
      <c r="I652" s="5"/>
    </row>
    <row r="653" spans="6:9" x14ac:dyDescent="0.3">
      <c r="F653" s="4"/>
      <c r="G653" s="5"/>
      <c r="H653" s="5"/>
      <c r="I653" s="5"/>
    </row>
    <row r="654" spans="6:9" x14ac:dyDescent="0.3">
      <c r="F654" s="4"/>
      <c r="G654" s="5"/>
      <c r="H654" s="5"/>
      <c r="I654" s="5"/>
    </row>
    <row r="655" spans="6:9" x14ac:dyDescent="0.3">
      <c r="F655" s="4"/>
      <c r="G655" s="5"/>
      <c r="H655" s="5"/>
      <c r="I655" s="5"/>
    </row>
    <row r="656" spans="6:9" x14ac:dyDescent="0.3">
      <c r="F656" s="4"/>
      <c r="G656" s="5"/>
      <c r="H656" s="5"/>
      <c r="I656" s="5"/>
    </row>
    <row r="657" spans="6:9" x14ac:dyDescent="0.3">
      <c r="F657" s="4"/>
      <c r="G657" s="5"/>
      <c r="H657" s="5"/>
      <c r="I657" s="5"/>
    </row>
    <row r="658" spans="6:9" x14ac:dyDescent="0.3">
      <c r="F658" s="4"/>
      <c r="G658" s="5"/>
      <c r="H658" s="5"/>
      <c r="I658" s="5"/>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B008-6F32-47DC-B733-000CCAB78178}">
  <dimension ref="A1:J25"/>
  <sheetViews>
    <sheetView zoomScale="130" zoomScaleNormal="130" workbookViewId="0">
      <selection activeCell="C8" sqref="C8"/>
    </sheetView>
  </sheetViews>
  <sheetFormatPr defaultRowHeight="14.4" x14ac:dyDescent="0.3"/>
  <cols>
    <col min="1" max="1" width="20.6640625" bestFit="1" customWidth="1"/>
    <col min="2" max="2" width="7.44140625" bestFit="1" customWidth="1"/>
    <col min="3" max="3" width="11.109375" bestFit="1" customWidth="1"/>
  </cols>
  <sheetData>
    <row r="1" spans="1:10" ht="22.8" x14ac:dyDescent="0.4">
      <c r="A1" s="48" t="s">
        <v>52</v>
      </c>
      <c r="B1" s="49"/>
      <c r="C1" s="49"/>
      <c r="D1" s="49"/>
      <c r="E1" s="49"/>
      <c r="F1" s="49"/>
      <c r="G1" s="49"/>
      <c r="H1" s="49"/>
      <c r="I1" s="49"/>
      <c r="J1" s="49"/>
    </row>
    <row r="3" spans="1:10" x14ac:dyDescent="0.3">
      <c r="A3" s="30" t="s">
        <v>68</v>
      </c>
      <c r="B3" t="s">
        <v>79</v>
      </c>
    </row>
    <row r="4" spans="1:10" x14ac:dyDescent="0.3">
      <c r="A4" s="31" t="s">
        <v>14</v>
      </c>
      <c r="B4" s="35">
        <v>19525.600000000002</v>
      </c>
    </row>
    <row r="5" spans="1:10" x14ac:dyDescent="0.3">
      <c r="A5" s="31" t="s">
        <v>30</v>
      </c>
      <c r="B5" s="35">
        <v>25899.020000000011</v>
      </c>
    </row>
    <row r="6" spans="1:10" x14ac:dyDescent="0.3">
      <c r="A6" s="31" t="s">
        <v>24</v>
      </c>
      <c r="B6" s="35">
        <v>30189.32</v>
      </c>
    </row>
    <row r="7" spans="1:10" x14ac:dyDescent="0.3">
      <c r="A7" s="31" t="s">
        <v>19</v>
      </c>
      <c r="B7" s="35">
        <v>29800.160000000003</v>
      </c>
    </row>
    <row r="8" spans="1:10" x14ac:dyDescent="0.3">
      <c r="A8" s="31" t="s">
        <v>22</v>
      </c>
      <c r="B8" s="35">
        <v>46234.960000000006</v>
      </c>
    </row>
    <row r="9" spans="1:10" x14ac:dyDescent="0.3">
      <c r="A9" s="31" t="s">
        <v>4</v>
      </c>
      <c r="B9" s="35">
        <v>14946.919999999998</v>
      </c>
    </row>
    <row r="10" spans="1:10" x14ac:dyDescent="0.3">
      <c r="A10" s="31" t="s">
        <v>26</v>
      </c>
      <c r="B10" s="35">
        <v>58277.8</v>
      </c>
    </row>
    <row r="11" spans="1:10" x14ac:dyDescent="0.3">
      <c r="A11" s="31" t="s">
        <v>28</v>
      </c>
      <c r="B11" s="35">
        <v>39084.340000000004</v>
      </c>
    </row>
    <row r="12" spans="1:10" x14ac:dyDescent="0.3">
      <c r="A12" s="31" t="s">
        <v>32</v>
      </c>
      <c r="B12" s="35">
        <v>52063.35</v>
      </c>
    </row>
    <row r="13" spans="1:10" x14ac:dyDescent="0.3">
      <c r="A13" s="31" t="s">
        <v>18</v>
      </c>
      <c r="B13" s="35">
        <v>40814.559999999998</v>
      </c>
    </row>
    <row r="14" spans="1:10" x14ac:dyDescent="0.3">
      <c r="A14" s="31" t="s">
        <v>17</v>
      </c>
      <c r="B14" s="35">
        <v>56471.590000000004</v>
      </c>
    </row>
    <row r="15" spans="1:10" x14ac:dyDescent="0.3">
      <c r="A15" s="31" t="s">
        <v>23</v>
      </c>
      <c r="B15" s="35">
        <v>44884.12</v>
      </c>
    </row>
    <row r="16" spans="1:10" x14ac:dyDescent="0.3">
      <c r="A16" s="31" t="s">
        <v>29</v>
      </c>
      <c r="B16" s="35">
        <v>36700.840000000004</v>
      </c>
    </row>
    <row r="17" spans="1:2" x14ac:dyDescent="0.3">
      <c r="A17" s="31" t="s">
        <v>13</v>
      </c>
      <c r="B17" s="35">
        <v>29721.27</v>
      </c>
    </row>
    <row r="18" spans="1:2" x14ac:dyDescent="0.3">
      <c r="A18" s="31" t="s">
        <v>16</v>
      </c>
      <c r="B18" s="35">
        <v>43177.340000000004</v>
      </c>
    </row>
    <row r="19" spans="1:2" x14ac:dyDescent="0.3">
      <c r="A19" s="31" t="s">
        <v>20</v>
      </c>
      <c r="B19" s="35">
        <v>31390.480000000003</v>
      </c>
    </row>
    <row r="20" spans="1:2" x14ac:dyDescent="0.3">
      <c r="A20" s="31" t="s">
        <v>27</v>
      </c>
      <c r="B20" s="35">
        <v>19572.14</v>
      </c>
    </row>
    <row r="21" spans="1:2" x14ac:dyDescent="0.3">
      <c r="A21" s="31" t="s">
        <v>33</v>
      </c>
      <c r="B21" s="35">
        <v>46226.020000000004</v>
      </c>
    </row>
    <row r="22" spans="1:2" x14ac:dyDescent="0.3">
      <c r="A22" s="31" t="s">
        <v>15</v>
      </c>
      <c r="B22" s="35">
        <v>50988.91</v>
      </c>
    </row>
    <row r="23" spans="1:2" x14ac:dyDescent="0.3">
      <c r="A23" s="31" t="s">
        <v>31</v>
      </c>
      <c r="B23" s="35">
        <v>29518.43</v>
      </c>
    </row>
    <row r="24" spans="1:2" x14ac:dyDescent="0.3">
      <c r="A24" s="31" t="s">
        <v>21</v>
      </c>
      <c r="B24" s="35">
        <v>26000</v>
      </c>
    </row>
    <row r="25" spans="1:2" x14ac:dyDescent="0.3">
      <c r="A25" s="31" t="s">
        <v>25</v>
      </c>
      <c r="B25" s="35">
        <v>29678.099999999995</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60E48-44E0-4FF8-B667-69AD780AFB77}">
  <dimension ref="A1:Q14"/>
  <sheetViews>
    <sheetView zoomScale="130" zoomScaleNormal="130" workbookViewId="0">
      <selection activeCell="C3" sqref="C3"/>
    </sheetView>
  </sheetViews>
  <sheetFormatPr defaultRowHeight="14.4" x14ac:dyDescent="0.3"/>
  <cols>
    <col min="2" max="2" width="11.88671875" customWidth="1"/>
    <col min="3" max="3" width="11.5546875" customWidth="1"/>
    <col min="6" max="6" width="17.77734375" customWidth="1"/>
  </cols>
  <sheetData>
    <row r="1" spans="1:17" ht="22.8" x14ac:dyDescent="0.4">
      <c r="A1" s="48" t="s">
        <v>47</v>
      </c>
      <c r="B1" s="49"/>
      <c r="C1" s="49"/>
      <c r="D1" s="49"/>
      <c r="E1" s="49"/>
      <c r="F1" s="49"/>
      <c r="G1" s="49"/>
    </row>
    <row r="2" spans="1:17" ht="18" x14ac:dyDescent="0.35">
      <c r="K2" s="42" t="s">
        <v>37</v>
      </c>
      <c r="Q2" s="37"/>
    </row>
    <row r="3" spans="1:17" ht="18" x14ac:dyDescent="0.35">
      <c r="A3" s="57" t="s">
        <v>80</v>
      </c>
      <c r="B3" s="58"/>
      <c r="C3" s="44" t="s">
        <v>35</v>
      </c>
      <c r="D3" s="37"/>
      <c r="E3" s="37"/>
      <c r="F3" s="38" t="s">
        <v>84</v>
      </c>
      <c r="G3" s="38" t="s">
        <v>85</v>
      </c>
      <c r="H3" s="38" t="s">
        <v>58</v>
      </c>
      <c r="I3" s="37"/>
      <c r="K3" s="43" t="s">
        <v>35</v>
      </c>
      <c r="Q3" s="37"/>
    </row>
    <row r="4" spans="1:17" ht="18" x14ac:dyDescent="0.35">
      <c r="A4" s="60"/>
      <c r="B4" s="60"/>
      <c r="C4" s="60"/>
      <c r="D4" s="60"/>
      <c r="E4" s="37"/>
      <c r="F4" s="39" t="s">
        <v>40</v>
      </c>
      <c r="G4" s="37">
        <f>SUMIFS(Data[Amount],Data[Sales Person],$F$4,Data[Geography],C3)</f>
        <v>38325</v>
      </c>
      <c r="H4" s="37">
        <f>SUMIFS(Data[Units],Data[Sales Person],$F$4,Data[Geography],C3)</f>
        <v>1833</v>
      </c>
      <c r="I4" s="40">
        <f>IF(G4&gt;10000,1,-1)</f>
        <v>1</v>
      </c>
      <c r="K4" s="43" t="s">
        <v>36</v>
      </c>
      <c r="Q4" s="37"/>
    </row>
    <row r="5" spans="1:17" ht="18" x14ac:dyDescent="0.35">
      <c r="A5" s="52" t="s">
        <v>81</v>
      </c>
      <c r="B5" s="53"/>
      <c r="C5" s="53"/>
      <c r="D5" s="53"/>
      <c r="E5" s="37"/>
      <c r="F5" s="41" t="s">
        <v>8</v>
      </c>
      <c r="G5" s="37">
        <f>SUMIFS(Data[Amount],Data[Sales Person],$F$5,Data[Geography],C3)</f>
        <v>25151</v>
      </c>
      <c r="H5" s="37">
        <f>SUMIFS(Data[Units],Data[Sales Person],$F$5,Data[Geography],C3)</f>
        <v>1707</v>
      </c>
      <c r="I5" s="40">
        <f t="shared" ref="I5:I14" si="0">IF(G5&gt;10000,1,-1)</f>
        <v>1</v>
      </c>
      <c r="K5" s="42" t="s">
        <v>39</v>
      </c>
      <c r="Q5" s="37"/>
    </row>
    <row r="6" spans="1:17" ht="18" x14ac:dyDescent="0.35">
      <c r="A6" s="59" t="s">
        <v>82</v>
      </c>
      <c r="B6" s="59"/>
      <c r="C6" s="54">
        <f>COUNTIFS(Data[Geography],C3)</f>
        <v>53</v>
      </c>
      <c r="D6" s="55"/>
      <c r="E6" s="37"/>
      <c r="F6" s="39" t="s">
        <v>9</v>
      </c>
      <c r="G6" s="37">
        <f>SUMIFS(Data[Amount],Data[Sales Person],$F$6,Data[Geography],C3)</f>
        <v>11319</v>
      </c>
      <c r="H6" s="37">
        <f>SUMIFS(Data[Units],Data[Sales Person],$F$6,Data[Geography],C3)</f>
        <v>693</v>
      </c>
      <c r="I6" s="40">
        <f t="shared" si="0"/>
        <v>1</v>
      </c>
      <c r="K6" s="42" t="s">
        <v>38</v>
      </c>
      <c r="Q6" s="37"/>
    </row>
    <row r="7" spans="1:17" ht="18" x14ac:dyDescent="0.35">
      <c r="A7" s="56"/>
      <c r="B7" s="56"/>
      <c r="C7" s="56"/>
      <c r="D7" s="56"/>
      <c r="E7" s="37"/>
      <c r="F7" s="41" t="s">
        <v>41</v>
      </c>
      <c r="G7" s="37">
        <f>SUMIFS(Data[Amount],Data[Sales Person],$F$7,Data[Geography],C3)</f>
        <v>15785</v>
      </c>
      <c r="H7" s="37">
        <f>SUMIFS(Data[Units],Data[Sales Person],$F$7,Data[Geography],C3)</f>
        <v>699</v>
      </c>
      <c r="I7" s="40">
        <f t="shared" si="0"/>
        <v>1</v>
      </c>
      <c r="K7" s="43" t="s">
        <v>37</v>
      </c>
      <c r="Q7" s="37"/>
    </row>
    <row r="8" spans="1:17" ht="18" x14ac:dyDescent="0.35">
      <c r="A8" s="54"/>
      <c r="B8" s="55"/>
      <c r="C8" s="16" t="s">
        <v>1</v>
      </c>
      <c r="D8" s="16" t="s">
        <v>50</v>
      </c>
      <c r="E8" s="37"/>
      <c r="F8" s="39" t="s">
        <v>6</v>
      </c>
      <c r="G8" s="37">
        <f>SUMIFS(Data[Amount],Data[Sales Person],$F$8,Data[Geography],C3)</f>
        <v>11018</v>
      </c>
      <c r="H8" s="37">
        <f>SUMIFS(Data[Units],Data[Sales Person],$F$8,Data[Geography],C3)</f>
        <v>972</v>
      </c>
      <c r="I8" s="40">
        <f t="shared" si="0"/>
        <v>1</v>
      </c>
      <c r="K8" s="43" t="s">
        <v>34</v>
      </c>
      <c r="Q8" s="37"/>
    </row>
    <row r="9" spans="1:17" ht="18" x14ac:dyDescent="0.35">
      <c r="A9" s="50" t="s">
        <v>83</v>
      </c>
      <c r="B9" s="51"/>
      <c r="C9" s="36">
        <f>SUMIFS(Data[Amount],Data[Geography],C3)</f>
        <v>189434</v>
      </c>
      <c r="D9" s="36">
        <f>SUMIFS(Data[Units],Data[Geography],C3)</f>
        <v>10158</v>
      </c>
      <c r="E9" s="37"/>
      <c r="F9" s="41" t="s">
        <v>40</v>
      </c>
      <c r="G9" s="37">
        <f>SUMIFS(Data[Amount],Data[Sales Person],$F$9,Data[Geography],C3)</f>
        <v>38325</v>
      </c>
      <c r="H9" s="37">
        <f>SUMIFS(Data[Units],Data[Sales Person],$F$9,Data[Geography],C3)</f>
        <v>1833</v>
      </c>
      <c r="I9" s="40">
        <f t="shared" si="0"/>
        <v>1</v>
      </c>
    </row>
    <row r="10" spans="1:17" ht="18" x14ac:dyDescent="0.35">
      <c r="A10" s="50" t="s">
        <v>78</v>
      </c>
      <c r="B10" s="51"/>
      <c r="C10" s="36">
        <f>SUMIFS(Data[Cost],Data[Geography],C3)</f>
        <v>107216.28</v>
      </c>
      <c r="D10" s="36">
        <f>SUMIFS(Data[Units],Data[Geography],C3)</f>
        <v>10158</v>
      </c>
      <c r="E10" s="37"/>
      <c r="F10" s="39" t="s">
        <v>7</v>
      </c>
      <c r="G10" s="37">
        <f>SUMIFS(Data[Amount],Data[Sales Person],$F$10,Data[Geography],C3)</f>
        <v>28546</v>
      </c>
      <c r="H10" s="37">
        <f>SUMIFS(Data[Units],Data[Sales Person],$F$10,Data[Geography],C3)</f>
        <v>1005</v>
      </c>
      <c r="I10" s="40">
        <f t="shared" si="0"/>
        <v>1</v>
      </c>
    </row>
    <row r="11" spans="1:17" ht="18" x14ac:dyDescent="0.35">
      <c r="A11" s="50" t="s">
        <v>79</v>
      </c>
      <c r="B11" s="51"/>
      <c r="C11" s="36">
        <f>C9-C10</f>
        <v>82217.72</v>
      </c>
      <c r="D11" s="36"/>
      <c r="E11" s="37"/>
      <c r="F11" s="41" t="s">
        <v>5</v>
      </c>
      <c r="G11" s="37">
        <f>SUMIFS(Data[Amount],Data[Sales Person],$F$11,Data[Geography],C3)</f>
        <v>28273</v>
      </c>
      <c r="H11" s="37">
        <f>SUMIFS(Data[Units],Data[Sales Person],$F$11,Data[Geography],C3)</f>
        <v>912</v>
      </c>
      <c r="I11" s="40">
        <f t="shared" si="0"/>
        <v>1</v>
      </c>
    </row>
    <row r="12" spans="1:17" ht="18" x14ac:dyDescent="0.35">
      <c r="A12" s="37"/>
      <c r="B12" s="37"/>
      <c r="C12" s="37"/>
      <c r="D12" s="37"/>
      <c r="E12" s="37"/>
      <c r="F12" s="39" t="s">
        <v>2</v>
      </c>
      <c r="G12" s="37">
        <f>SUMIFS(Data[Amount],Data[Sales Person],$F$12,Data[Geography],C3)</f>
        <v>2142</v>
      </c>
      <c r="H12" s="37">
        <f>SUMIFS(Data[Units],Data[Sales Person],$F$12,Data[Geography],C3)</f>
        <v>318</v>
      </c>
      <c r="I12" s="40">
        <f t="shared" si="0"/>
        <v>-1</v>
      </c>
    </row>
    <row r="13" spans="1:17" ht="18" x14ac:dyDescent="0.35">
      <c r="A13" s="37"/>
      <c r="B13" s="37"/>
      <c r="C13" s="37"/>
      <c r="D13" s="37"/>
      <c r="E13" s="37"/>
      <c r="F13" s="41" t="s">
        <v>3</v>
      </c>
      <c r="G13" s="37">
        <f>SUMIFS(Data[Amount],Data[Sales Person],$F$13,Data[Geography],C3)</f>
        <v>16492</v>
      </c>
      <c r="H13" s="37">
        <f>SUMIFS(Data[Units],Data[Sales Person],$F$13,Data[Geography],C3)</f>
        <v>1215</v>
      </c>
      <c r="I13" s="40">
        <f t="shared" si="0"/>
        <v>1</v>
      </c>
    </row>
    <row r="14" spans="1:17" ht="18" x14ac:dyDescent="0.35">
      <c r="A14" s="37"/>
      <c r="B14" s="37"/>
      <c r="C14" s="37"/>
      <c r="D14" s="37"/>
      <c r="E14" s="37"/>
      <c r="F14" s="39" t="s">
        <v>10</v>
      </c>
      <c r="G14" s="37">
        <f>SUMIFS(Data[Amount],Data[Sales Person],$F$14,Data[Geography],C3)</f>
        <v>12383</v>
      </c>
      <c r="H14" s="37">
        <f>SUMIFS(Data[Units],Data[Sales Person],$F$14,Data[Geography],C3)</f>
        <v>804</v>
      </c>
      <c r="I14" s="40">
        <f t="shared" si="0"/>
        <v>1</v>
      </c>
    </row>
  </sheetData>
  <mergeCells count="11">
    <mergeCell ref="A1:G1"/>
    <mergeCell ref="A3:B3"/>
    <mergeCell ref="A6:B6"/>
    <mergeCell ref="A4:D4"/>
    <mergeCell ref="A9:B9"/>
    <mergeCell ref="A10:B10"/>
    <mergeCell ref="A5:D5"/>
    <mergeCell ref="A8:B8"/>
    <mergeCell ref="A11:B11"/>
    <mergeCell ref="A7:D7"/>
    <mergeCell ref="C6:D6"/>
  </mergeCells>
  <conditionalFormatting sqref="I3">
    <cfRule type="iconSet" priority="2">
      <iconSet iconSet="3Symbols">
        <cfvo type="percent" val="0"/>
        <cfvo type="percent" val="33"/>
        <cfvo type="percent" val="67"/>
      </iconSet>
    </cfRule>
  </conditionalFormatting>
  <dataValidations count="1">
    <dataValidation type="list" allowBlank="1" showInputMessage="1" showErrorMessage="1" sqref="C3" xr:uid="{F51FB5CE-671E-441B-B469-ED0828A788D4}">
      <formula1>$K$2:$K$8</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84F2460A-CF29-4CBB-BB0C-2C5299B55161}">
            <x14:iconSet iconSet="3Symbols" showValue="0" custom="1">
              <x14:cfvo type="percent">
                <xm:f>0</xm:f>
              </x14:cfvo>
              <x14:cfvo type="num">
                <xm:f>0</xm:f>
              </x14:cfvo>
              <x14:cfvo type="num">
                <xm:f>1</xm:f>
              </x14:cfvo>
              <x14:cfIcon iconSet="3Symbols" iconId="0"/>
              <x14:cfIcon iconSet="NoIcons" iconId="0"/>
              <x14:cfIcon iconSet="3Symbols" iconId="2"/>
            </x14:iconSet>
          </x14:cfRule>
          <xm:sqref>I4:I14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F26F2-BFD9-4CDB-8CEC-70236091B923}">
  <dimension ref="A1:E18"/>
  <sheetViews>
    <sheetView zoomScale="115" zoomScaleNormal="115" workbookViewId="0">
      <selection activeCell="A7" sqref="A7"/>
    </sheetView>
  </sheetViews>
  <sheetFormatPr defaultRowHeight="14.4" x14ac:dyDescent="0.3"/>
  <cols>
    <col min="1" max="1" width="16.109375" bestFit="1" customWidth="1"/>
    <col min="2" max="2" width="14.44140625" bestFit="1" customWidth="1"/>
    <col min="3" max="3" width="17.109375" customWidth="1"/>
    <col min="4" max="4" width="16.109375" bestFit="1" customWidth="1"/>
    <col min="5" max="5" width="14.44140625" bestFit="1" customWidth="1"/>
  </cols>
  <sheetData>
    <row r="1" spans="1:5" ht="25.8" x14ac:dyDescent="0.5">
      <c r="A1" s="61" t="s">
        <v>49</v>
      </c>
      <c r="B1" s="62"/>
      <c r="C1" s="62"/>
    </row>
    <row r="3" spans="1:5" ht="15.6" x14ac:dyDescent="0.3">
      <c r="A3" s="63" t="s">
        <v>75</v>
      </c>
      <c r="B3" s="63"/>
      <c r="D3" s="64" t="s">
        <v>76</v>
      </c>
      <c r="E3" s="65"/>
    </row>
    <row r="5" spans="1:5" x14ac:dyDescent="0.3">
      <c r="A5" s="30" t="s">
        <v>68</v>
      </c>
      <c r="B5" t="s">
        <v>70</v>
      </c>
      <c r="D5" s="30" t="s">
        <v>68</v>
      </c>
      <c r="E5" t="s">
        <v>70</v>
      </c>
    </row>
    <row r="6" spans="1:5" x14ac:dyDescent="0.3">
      <c r="A6" s="31" t="s">
        <v>38</v>
      </c>
      <c r="D6" s="31" t="s">
        <v>38</v>
      </c>
    </row>
    <row r="7" spans="1:5" x14ac:dyDescent="0.3">
      <c r="A7" s="34" t="s">
        <v>5</v>
      </c>
      <c r="B7">
        <v>25221</v>
      </c>
      <c r="D7" s="34" t="s">
        <v>41</v>
      </c>
      <c r="E7">
        <v>6069</v>
      </c>
    </row>
    <row r="8" spans="1:5" x14ac:dyDescent="0.3">
      <c r="A8" s="31" t="s">
        <v>36</v>
      </c>
      <c r="D8" s="31" t="s">
        <v>36</v>
      </c>
    </row>
    <row r="9" spans="1:5" x14ac:dyDescent="0.3">
      <c r="A9" s="34" t="s">
        <v>5</v>
      </c>
      <c r="B9">
        <v>39620</v>
      </c>
      <c r="D9" s="34" t="s">
        <v>8</v>
      </c>
      <c r="E9">
        <v>5019</v>
      </c>
    </row>
    <row r="10" spans="1:5" x14ac:dyDescent="0.3">
      <c r="A10" s="31" t="s">
        <v>34</v>
      </c>
      <c r="D10" s="31" t="s">
        <v>34</v>
      </c>
    </row>
    <row r="11" spans="1:5" x14ac:dyDescent="0.3">
      <c r="A11" s="34" t="s">
        <v>5</v>
      </c>
      <c r="B11">
        <v>41559</v>
      </c>
      <c r="D11" s="34" t="s">
        <v>8</v>
      </c>
      <c r="E11">
        <v>5516</v>
      </c>
    </row>
    <row r="12" spans="1:5" x14ac:dyDescent="0.3">
      <c r="A12" s="31" t="s">
        <v>37</v>
      </c>
      <c r="D12" s="31" t="s">
        <v>37</v>
      </c>
    </row>
    <row r="13" spans="1:5" x14ac:dyDescent="0.3">
      <c r="A13" s="34" t="s">
        <v>7</v>
      </c>
      <c r="B13">
        <v>43568</v>
      </c>
      <c r="D13" s="34" t="s">
        <v>10</v>
      </c>
      <c r="E13">
        <v>7987</v>
      </c>
    </row>
    <row r="14" spans="1:5" x14ac:dyDescent="0.3">
      <c r="A14" s="31" t="s">
        <v>39</v>
      </c>
      <c r="D14" s="31" t="s">
        <v>39</v>
      </c>
    </row>
    <row r="15" spans="1:5" x14ac:dyDescent="0.3">
      <c r="A15" s="34" t="s">
        <v>2</v>
      </c>
      <c r="B15">
        <v>45752</v>
      </c>
      <c r="D15" s="34" t="s">
        <v>41</v>
      </c>
      <c r="E15">
        <v>3976</v>
      </c>
    </row>
    <row r="16" spans="1:5" x14ac:dyDescent="0.3">
      <c r="A16" s="31" t="s">
        <v>35</v>
      </c>
      <c r="D16" s="31" t="s">
        <v>35</v>
      </c>
    </row>
    <row r="17" spans="1:5" x14ac:dyDescent="0.3">
      <c r="A17" s="34" t="s">
        <v>40</v>
      </c>
      <c r="B17">
        <v>38325</v>
      </c>
      <c r="D17" s="34" t="s">
        <v>2</v>
      </c>
      <c r="E17">
        <v>2142</v>
      </c>
    </row>
    <row r="18" spans="1:5" x14ac:dyDescent="0.3">
      <c r="A18" s="31" t="s">
        <v>69</v>
      </c>
      <c r="B18">
        <v>234045</v>
      </c>
      <c r="D18" s="31" t="s">
        <v>69</v>
      </c>
      <c r="E18">
        <v>30709</v>
      </c>
    </row>
  </sheetData>
  <mergeCells count="3">
    <mergeCell ref="A1:C1"/>
    <mergeCell ref="A3:B3"/>
    <mergeCell ref="D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A542-E831-49F5-97D1-6BAC727399B5}">
  <dimension ref="A1:F303"/>
  <sheetViews>
    <sheetView topLeftCell="A15" zoomScaleNormal="100" workbookViewId="0">
      <selection activeCell="S7" sqref="S7"/>
    </sheetView>
  </sheetViews>
  <sheetFormatPr defaultRowHeight="14.4" x14ac:dyDescent="0.3"/>
  <cols>
    <col min="1" max="1" width="13.6640625" customWidth="1"/>
    <col min="2" max="2" width="12.44140625" bestFit="1" customWidth="1"/>
    <col min="3" max="3" width="20.21875" bestFit="1" customWidth="1"/>
    <col min="4" max="4" width="8" bestFit="1" customWidth="1"/>
    <col min="6" max="6" width="15.33203125" customWidth="1"/>
  </cols>
  <sheetData>
    <row r="1" spans="1:6" ht="23.4" x14ac:dyDescent="0.45">
      <c r="A1" s="48" t="s">
        <v>55</v>
      </c>
      <c r="B1" s="66"/>
      <c r="C1" s="66"/>
      <c r="D1" s="66"/>
      <c r="E1" s="66"/>
      <c r="F1" s="24"/>
    </row>
    <row r="3" spans="1:6" x14ac:dyDescent="0.3">
      <c r="A3" s="6" t="s">
        <v>11</v>
      </c>
      <c r="B3" s="6" t="s">
        <v>12</v>
      </c>
      <c r="C3" s="6" t="s">
        <v>0</v>
      </c>
      <c r="D3" s="10" t="s">
        <v>1</v>
      </c>
      <c r="E3" s="10" t="s">
        <v>50</v>
      </c>
    </row>
    <row r="4" spans="1:6" x14ac:dyDescent="0.3">
      <c r="A4" t="s">
        <v>40</v>
      </c>
      <c r="B4" t="s">
        <v>37</v>
      </c>
      <c r="C4" t="s">
        <v>30</v>
      </c>
      <c r="D4" s="4">
        <v>1624</v>
      </c>
      <c r="E4" s="5">
        <v>114</v>
      </c>
    </row>
    <row r="5" spans="1:6" x14ac:dyDescent="0.3">
      <c r="A5" t="s">
        <v>8</v>
      </c>
      <c r="B5" t="s">
        <v>35</v>
      </c>
      <c r="C5" t="s">
        <v>32</v>
      </c>
      <c r="D5" s="4">
        <v>6706</v>
      </c>
      <c r="E5" s="5">
        <v>459</v>
      </c>
    </row>
    <row r="6" spans="1:6" x14ac:dyDescent="0.3">
      <c r="A6" t="s">
        <v>9</v>
      </c>
      <c r="B6" t="s">
        <v>35</v>
      </c>
      <c r="C6" t="s">
        <v>4</v>
      </c>
      <c r="D6" s="4">
        <v>959</v>
      </c>
      <c r="E6" s="5">
        <v>147</v>
      </c>
    </row>
    <row r="7" spans="1:6" x14ac:dyDescent="0.3">
      <c r="A7" t="s">
        <v>41</v>
      </c>
      <c r="B7" t="s">
        <v>36</v>
      </c>
      <c r="C7" t="s">
        <v>18</v>
      </c>
      <c r="D7" s="4">
        <v>9632</v>
      </c>
      <c r="E7" s="5">
        <v>288</v>
      </c>
    </row>
    <row r="8" spans="1:6" x14ac:dyDescent="0.3">
      <c r="A8" t="s">
        <v>6</v>
      </c>
      <c r="B8" t="s">
        <v>39</v>
      </c>
      <c r="C8" t="s">
        <v>25</v>
      </c>
      <c r="D8" s="4">
        <v>2100</v>
      </c>
      <c r="E8" s="5">
        <v>414</v>
      </c>
    </row>
    <row r="9" spans="1:6" x14ac:dyDescent="0.3">
      <c r="A9" t="s">
        <v>40</v>
      </c>
      <c r="B9" t="s">
        <v>35</v>
      </c>
      <c r="C9" t="s">
        <v>33</v>
      </c>
      <c r="D9" s="4">
        <v>8869</v>
      </c>
      <c r="E9" s="5">
        <v>432</v>
      </c>
    </row>
    <row r="10" spans="1:6" x14ac:dyDescent="0.3">
      <c r="A10" t="s">
        <v>6</v>
      </c>
      <c r="B10" t="s">
        <v>38</v>
      </c>
      <c r="C10" t="s">
        <v>31</v>
      </c>
      <c r="D10" s="4">
        <v>2681</v>
      </c>
      <c r="E10" s="5">
        <v>54</v>
      </c>
    </row>
    <row r="11" spans="1:6" x14ac:dyDescent="0.3">
      <c r="A11" t="s">
        <v>8</v>
      </c>
      <c r="B11" t="s">
        <v>35</v>
      </c>
      <c r="C11" t="s">
        <v>22</v>
      </c>
      <c r="D11" s="4">
        <v>5012</v>
      </c>
      <c r="E11" s="5">
        <v>210</v>
      </c>
    </row>
    <row r="12" spans="1:6" x14ac:dyDescent="0.3">
      <c r="A12" t="s">
        <v>7</v>
      </c>
      <c r="B12" t="s">
        <v>38</v>
      </c>
      <c r="C12" t="s">
        <v>14</v>
      </c>
      <c r="D12" s="4">
        <v>1281</v>
      </c>
      <c r="E12" s="5">
        <v>75</v>
      </c>
    </row>
    <row r="13" spans="1:6" x14ac:dyDescent="0.3">
      <c r="A13" t="s">
        <v>5</v>
      </c>
      <c r="B13" t="s">
        <v>37</v>
      </c>
      <c r="C13" t="s">
        <v>14</v>
      </c>
      <c r="D13" s="4">
        <v>4991</v>
      </c>
      <c r="E13" s="5">
        <v>12</v>
      </c>
    </row>
    <row r="14" spans="1:6" x14ac:dyDescent="0.3">
      <c r="A14" t="s">
        <v>2</v>
      </c>
      <c r="B14" t="s">
        <v>39</v>
      </c>
      <c r="C14" t="s">
        <v>25</v>
      </c>
      <c r="D14" s="4">
        <v>1785</v>
      </c>
      <c r="E14" s="5">
        <v>462</v>
      </c>
    </row>
    <row r="15" spans="1:6" x14ac:dyDescent="0.3">
      <c r="A15" t="s">
        <v>3</v>
      </c>
      <c r="B15" t="s">
        <v>37</v>
      </c>
      <c r="C15" t="s">
        <v>17</v>
      </c>
      <c r="D15" s="4">
        <v>3983</v>
      </c>
      <c r="E15" s="5">
        <v>144</v>
      </c>
    </row>
    <row r="16" spans="1:6" x14ac:dyDescent="0.3">
      <c r="A16" t="s">
        <v>9</v>
      </c>
      <c r="B16" t="s">
        <v>38</v>
      </c>
      <c r="C16" t="s">
        <v>16</v>
      </c>
      <c r="D16" s="4">
        <v>2646</v>
      </c>
      <c r="E16" s="5">
        <v>120</v>
      </c>
    </row>
    <row r="17" spans="1:5" x14ac:dyDescent="0.3">
      <c r="A17" t="s">
        <v>2</v>
      </c>
      <c r="B17" t="s">
        <v>34</v>
      </c>
      <c r="C17" t="s">
        <v>13</v>
      </c>
      <c r="D17" s="4">
        <v>252</v>
      </c>
      <c r="E17" s="5">
        <v>54</v>
      </c>
    </row>
    <row r="18" spans="1:5" x14ac:dyDescent="0.3">
      <c r="A18" t="s">
        <v>3</v>
      </c>
      <c r="B18" t="s">
        <v>35</v>
      </c>
      <c r="C18" t="s">
        <v>25</v>
      </c>
      <c r="D18" s="4">
        <v>2464</v>
      </c>
      <c r="E18" s="5">
        <v>234</v>
      </c>
    </row>
    <row r="19" spans="1:5" x14ac:dyDescent="0.3">
      <c r="A19" t="s">
        <v>3</v>
      </c>
      <c r="B19" t="s">
        <v>35</v>
      </c>
      <c r="C19" t="s">
        <v>29</v>
      </c>
      <c r="D19" s="4">
        <v>2114</v>
      </c>
      <c r="E19" s="5">
        <v>66</v>
      </c>
    </row>
    <row r="20" spans="1:5" x14ac:dyDescent="0.3">
      <c r="A20" t="s">
        <v>6</v>
      </c>
      <c r="B20" t="s">
        <v>37</v>
      </c>
      <c r="C20" t="s">
        <v>31</v>
      </c>
      <c r="D20" s="4">
        <v>7693</v>
      </c>
      <c r="E20" s="5">
        <v>87</v>
      </c>
    </row>
    <row r="21" spans="1:5" x14ac:dyDescent="0.3">
      <c r="A21" t="s">
        <v>5</v>
      </c>
      <c r="B21" t="s">
        <v>34</v>
      </c>
      <c r="C21" t="s">
        <v>20</v>
      </c>
      <c r="D21" s="4">
        <v>15610</v>
      </c>
      <c r="E21" s="5">
        <v>339</v>
      </c>
    </row>
    <row r="22" spans="1:5" x14ac:dyDescent="0.3">
      <c r="A22" t="s">
        <v>41</v>
      </c>
      <c r="B22" t="s">
        <v>34</v>
      </c>
      <c r="C22" t="s">
        <v>22</v>
      </c>
      <c r="D22" s="4">
        <v>336</v>
      </c>
      <c r="E22" s="5">
        <v>144</v>
      </c>
    </row>
    <row r="23" spans="1:5" x14ac:dyDescent="0.3">
      <c r="A23" t="s">
        <v>2</v>
      </c>
      <c r="B23" t="s">
        <v>39</v>
      </c>
      <c r="C23" t="s">
        <v>20</v>
      </c>
      <c r="D23" s="4">
        <v>9443</v>
      </c>
      <c r="E23" s="5">
        <v>162</v>
      </c>
    </row>
    <row r="24" spans="1:5" x14ac:dyDescent="0.3">
      <c r="A24" t="s">
        <v>9</v>
      </c>
      <c r="B24" t="s">
        <v>34</v>
      </c>
      <c r="C24" t="s">
        <v>23</v>
      </c>
      <c r="D24" s="4">
        <v>8155</v>
      </c>
      <c r="E24" s="5">
        <v>90</v>
      </c>
    </row>
    <row r="25" spans="1:5" x14ac:dyDescent="0.3">
      <c r="A25" t="s">
        <v>8</v>
      </c>
      <c r="B25" t="s">
        <v>38</v>
      </c>
      <c r="C25" t="s">
        <v>23</v>
      </c>
      <c r="D25" s="4">
        <v>1701</v>
      </c>
      <c r="E25" s="5">
        <v>234</v>
      </c>
    </row>
    <row r="26" spans="1:5" x14ac:dyDescent="0.3">
      <c r="A26" t="s">
        <v>10</v>
      </c>
      <c r="B26" t="s">
        <v>38</v>
      </c>
      <c r="C26" t="s">
        <v>22</v>
      </c>
      <c r="D26" s="4">
        <v>2205</v>
      </c>
      <c r="E26" s="5">
        <v>141</v>
      </c>
    </row>
    <row r="27" spans="1:5" x14ac:dyDescent="0.3">
      <c r="A27" t="s">
        <v>8</v>
      </c>
      <c r="B27" t="s">
        <v>37</v>
      </c>
      <c r="C27" t="s">
        <v>19</v>
      </c>
      <c r="D27" s="4">
        <v>1771</v>
      </c>
      <c r="E27" s="5">
        <v>204</v>
      </c>
    </row>
    <row r="28" spans="1:5" x14ac:dyDescent="0.3">
      <c r="A28" t="s">
        <v>41</v>
      </c>
      <c r="B28" t="s">
        <v>35</v>
      </c>
      <c r="C28" t="s">
        <v>15</v>
      </c>
      <c r="D28" s="4">
        <v>2114</v>
      </c>
      <c r="E28" s="5">
        <v>186</v>
      </c>
    </row>
    <row r="29" spans="1:5" x14ac:dyDescent="0.3">
      <c r="A29" t="s">
        <v>41</v>
      </c>
      <c r="B29" t="s">
        <v>36</v>
      </c>
      <c r="C29" t="s">
        <v>13</v>
      </c>
      <c r="D29" s="4">
        <v>10311</v>
      </c>
      <c r="E29" s="5">
        <v>231</v>
      </c>
    </row>
    <row r="30" spans="1:5" x14ac:dyDescent="0.3">
      <c r="A30" t="s">
        <v>3</v>
      </c>
      <c r="B30" t="s">
        <v>39</v>
      </c>
      <c r="C30" t="s">
        <v>16</v>
      </c>
      <c r="D30" s="4">
        <v>21</v>
      </c>
      <c r="E30" s="5">
        <v>168</v>
      </c>
    </row>
    <row r="31" spans="1:5" x14ac:dyDescent="0.3">
      <c r="A31" t="s">
        <v>10</v>
      </c>
      <c r="B31" t="s">
        <v>35</v>
      </c>
      <c r="C31" t="s">
        <v>20</v>
      </c>
      <c r="D31" s="4">
        <v>1974</v>
      </c>
      <c r="E31" s="5">
        <v>195</v>
      </c>
    </row>
    <row r="32" spans="1:5" x14ac:dyDescent="0.3">
      <c r="A32" t="s">
        <v>5</v>
      </c>
      <c r="B32" t="s">
        <v>36</v>
      </c>
      <c r="C32" t="s">
        <v>23</v>
      </c>
      <c r="D32" s="4">
        <v>6314</v>
      </c>
      <c r="E32" s="5">
        <v>15</v>
      </c>
    </row>
    <row r="33" spans="1:5" x14ac:dyDescent="0.3">
      <c r="A33" t="s">
        <v>10</v>
      </c>
      <c r="B33" t="s">
        <v>37</v>
      </c>
      <c r="C33" t="s">
        <v>23</v>
      </c>
      <c r="D33" s="4">
        <v>4683</v>
      </c>
      <c r="E33" s="5">
        <v>30</v>
      </c>
    </row>
    <row r="34" spans="1:5" x14ac:dyDescent="0.3">
      <c r="A34" t="s">
        <v>41</v>
      </c>
      <c r="B34" t="s">
        <v>37</v>
      </c>
      <c r="C34" t="s">
        <v>24</v>
      </c>
      <c r="D34" s="4">
        <v>6398</v>
      </c>
      <c r="E34" s="5">
        <v>102</v>
      </c>
    </row>
    <row r="35" spans="1:5" x14ac:dyDescent="0.3">
      <c r="A35" t="s">
        <v>2</v>
      </c>
      <c r="B35" t="s">
        <v>35</v>
      </c>
      <c r="C35" t="s">
        <v>19</v>
      </c>
      <c r="D35" s="4">
        <v>553</v>
      </c>
      <c r="E35" s="5">
        <v>15</v>
      </c>
    </row>
    <row r="36" spans="1:5" x14ac:dyDescent="0.3">
      <c r="A36" t="s">
        <v>8</v>
      </c>
      <c r="B36" t="s">
        <v>39</v>
      </c>
      <c r="C36" t="s">
        <v>30</v>
      </c>
      <c r="D36" s="4">
        <v>7021</v>
      </c>
      <c r="E36" s="5">
        <v>183</v>
      </c>
    </row>
    <row r="37" spans="1:5" x14ac:dyDescent="0.3">
      <c r="A37" t="s">
        <v>40</v>
      </c>
      <c r="B37" t="s">
        <v>39</v>
      </c>
      <c r="C37" t="s">
        <v>22</v>
      </c>
      <c r="D37" s="4">
        <v>5817</v>
      </c>
      <c r="E37" s="5">
        <v>12</v>
      </c>
    </row>
    <row r="38" spans="1:5" x14ac:dyDescent="0.3">
      <c r="A38" t="s">
        <v>41</v>
      </c>
      <c r="B38" t="s">
        <v>39</v>
      </c>
      <c r="C38" t="s">
        <v>14</v>
      </c>
      <c r="D38" s="4">
        <v>3976</v>
      </c>
      <c r="E38" s="5">
        <v>72</v>
      </c>
    </row>
    <row r="39" spans="1:5" x14ac:dyDescent="0.3">
      <c r="A39" t="s">
        <v>6</v>
      </c>
      <c r="B39" t="s">
        <v>38</v>
      </c>
      <c r="C39" t="s">
        <v>27</v>
      </c>
      <c r="D39" s="4">
        <v>1134</v>
      </c>
      <c r="E39" s="5">
        <v>282</v>
      </c>
    </row>
    <row r="40" spans="1:5" x14ac:dyDescent="0.3">
      <c r="A40" t="s">
        <v>2</v>
      </c>
      <c r="B40" t="s">
        <v>39</v>
      </c>
      <c r="C40" t="s">
        <v>28</v>
      </c>
      <c r="D40" s="4">
        <v>6027</v>
      </c>
      <c r="E40" s="5">
        <v>144</v>
      </c>
    </row>
    <row r="41" spans="1:5" x14ac:dyDescent="0.3">
      <c r="A41" t="s">
        <v>6</v>
      </c>
      <c r="B41" t="s">
        <v>37</v>
      </c>
      <c r="C41" t="s">
        <v>16</v>
      </c>
      <c r="D41" s="4">
        <v>1904</v>
      </c>
      <c r="E41" s="5">
        <v>405</v>
      </c>
    </row>
    <row r="42" spans="1:5" x14ac:dyDescent="0.3">
      <c r="A42" t="s">
        <v>7</v>
      </c>
      <c r="B42" t="s">
        <v>34</v>
      </c>
      <c r="C42" t="s">
        <v>32</v>
      </c>
      <c r="D42" s="4">
        <v>3262</v>
      </c>
      <c r="E42" s="5">
        <v>75</v>
      </c>
    </row>
    <row r="43" spans="1:5" x14ac:dyDescent="0.3">
      <c r="A43" t="s">
        <v>40</v>
      </c>
      <c r="B43" t="s">
        <v>34</v>
      </c>
      <c r="C43" t="s">
        <v>27</v>
      </c>
      <c r="D43" s="4">
        <v>2289</v>
      </c>
      <c r="E43" s="5">
        <v>135</v>
      </c>
    </row>
    <row r="44" spans="1:5" x14ac:dyDescent="0.3">
      <c r="A44" t="s">
        <v>5</v>
      </c>
      <c r="B44" t="s">
        <v>34</v>
      </c>
      <c r="C44" t="s">
        <v>27</v>
      </c>
      <c r="D44" s="4">
        <v>6986</v>
      </c>
      <c r="E44" s="5">
        <v>21</v>
      </c>
    </row>
    <row r="45" spans="1:5" x14ac:dyDescent="0.3">
      <c r="A45" t="s">
        <v>2</v>
      </c>
      <c r="B45" t="s">
        <v>38</v>
      </c>
      <c r="C45" t="s">
        <v>23</v>
      </c>
      <c r="D45" s="4">
        <v>4417</v>
      </c>
      <c r="E45" s="5">
        <v>153</v>
      </c>
    </row>
    <row r="46" spans="1:5" x14ac:dyDescent="0.3">
      <c r="A46" t="s">
        <v>6</v>
      </c>
      <c r="B46" t="s">
        <v>34</v>
      </c>
      <c r="C46" t="s">
        <v>15</v>
      </c>
      <c r="D46" s="4">
        <v>1442</v>
      </c>
      <c r="E46" s="5">
        <v>15</v>
      </c>
    </row>
    <row r="47" spans="1:5" x14ac:dyDescent="0.3">
      <c r="A47" t="s">
        <v>3</v>
      </c>
      <c r="B47" t="s">
        <v>35</v>
      </c>
      <c r="C47" t="s">
        <v>14</v>
      </c>
      <c r="D47" s="4">
        <v>2415</v>
      </c>
      <c r="E47" s="5">
        <v>255</v>
      </c>
    </row>
    <row r="48" spans="1:5" x14ac:dyDescent="0.3">
      <c r="A48" t="s">
        <v>2</v>
      </c>
      <c r="B48" t="s">
        <v>37</v>
      </c>
      <c r="C48" t="s">
        <v>19</v>
      </c>
      <c r="D48" s="4">
        <v>238</v>
      </c>
      <c r="E48" s="5">
        <v>18</v>
      </c>
    </row>
    <row r="49" spans="1:5" x14ac:dyDescent="0.3">
      <c r="A49" t="s">
        <v>6</v>
      </c>
      <c r="B49" t="s">
        <v>37</v>
      </c>
      <c r="C49" t="s">
        <v>23</v>
      </c>
      <c r="D49" s="4">
        <v>4949</v>
      </c>
      <c r="E49" s="5">
        <v>189</v>
      </c>
    </row>
    <row r="50" spans="1:5" x14ac:dyDescent="0.3">
      <c r="A50" t="s">
        <v>5</v>
      </c>
      <c r="B50" t="s">
        <v>38</v>
      </c>
      <c r="C50" t="s">
        <v>32</v>
      </c>
      <c r="D50" s="4">
        <v>5075</v>
      </c>
      <c r="E50" s="5">
        <v>21</v>
      </c>
    </row>
    <row r="51" spans="1:5" x14ac:dyDescent="0.3">
      <c r="A51" t="s">
        <v>3</v>
      </c>
      <c r="B51" t="s">
        <v>36</v>
      </c>
      <c r="C51" t="s">
        <v>16</v>
      </c>
      <c r="D51" s="4">
        <v>9198</v>
      </c>
      <c r="E51" s="5">
        <v>36</v>
      </c>
    </row>
    <row r="52" spans="1:5" x14ac:dyDescent="0.3">
      <c r="A52" t="s">
        <v>6</v>
      </c>
      <c r="B52" t="s">
        <v>34</v>
      </c>
      <c r="C52" t="s">
        <v>29</v>
      </c>
      <c r="D52" s="4">
        <v>3339</v>
      </c>
      <c r="E52" s="5">
        <v>75</v>
      </c>
    </row>
    <row r="53" spans="1:5" x14ac:dyDescent="0.3">
      <c r="A53" t="s">
        <v>40</v>
      </c>
      <c r="B53" t="s">
        <v>34</v>
      </c>
      <c r="C53" t="s">
        <v>17</v>
      </c>
      <c r="D53" s="4">
        <v>5019</v>
      </c>
      <c r="E53" s="5">
        <v>156</v>
      </c>
    </row>
    <row r="54" spans="1:5" x14ac:dyDescent="0.3">
      <c r="A54" t="s">
        <v>5</v>
      </c>
      <c r="B54" t="s">
        <v>36</v>
      </c>
      <c r="C54" t="s">
        <v>16</v>
      </c>
      <c r="D54" s="4">
        <v>16184</v>
      </c>
      <c r="E54" s="5">
        <v>39</v>
      </c>
    </row>
    <row r="55" spans="1:5" x14ac:dyDescent="0.3">
      <c r="A55" t="s">
        <v>6</v>
      </c>
      <c r="B55" t="s">
        <v>36</v>
      </c>
      <c r="C55" t="s">
        <v>21</v>
      </c>
      <c r="D55" s="4">
        <v>497</v>
      </c>
      <c r="E55" s="5">
        <v>63</v>
      </c>
    </row>
    <row r="56" spans="1:5" x14ac:dyDescent="0.3">
      <c r="A56" t="s">
        <v>2</v>
      </c>
      <c r="B56" t="s">
        <v>36</v>
      </c>
      <c r="C56" t="s">
        <v>29</v>
      </c>
      <c r="D56" s="4">
        <v>8211</v>
      </c>
      <c r="E56" s="5">
        <v>75</v>
      </c>
    </row>
    <row r="57" spans="1:5" x14ac:dyDescent="0.3">
      <c r="A57" t="s">
        <v>2</v>
      </c>
      <c r="B57" t="s">
        <v>38</v>
      </c>
      <c r="C57" t="s">
        <v>28</v>
      </c>
      <c r="D57" s="4">
        <v>6580</v>
      </c>
      <c r="E57" s="5">
        <v>183</v>
      </c>
    </row>
    <row r="58" spans="1:5" x14ac:dyDescent="0.3">
      <c r="A58" t="s">
        <v>41</v>
      </c>
      <c r="B58" t="s">
        <v>35</v>
      </c>
      <c r="C58" t="s">
        <v>13</v>
      </c>
      <c r="D58" s="4">
        <v>4760</v>
      </c>
      <c r="E58" s="5">
        <v>69</v>
      </c>
    </row>
    <row r="59" spans="1:5" x14ac:dyDescent="0.3">
      <c r="A59" t="s">
        <v>40</v>
      </c>
      <c r="B59" t="s">
        <v>36</v>
      </c>
      <c r="C59" t="s">
        <v>25</v>
      </c>
      <c r="D59" s="4">
        <v>5439</v>
      </c>
      <c r="E59" s="5">
        <v>30</v>
      </c>
    </row>
    <row r="60" spans="1:5" x14ac:dyDescent="0.3">
      <c r="A60" t="s">
        <v>41</v>
      </c>
      <c r="B60" t="s">
        <v>34</v>
      </c>
      <c r="C60" t="s">
        <v>17</v>
      </c>
      <c r="D60" s="4">
        <v>1463</v>
      </c>
      <c r="E60" s="5">
        <v>39</v>
      </c>
    </row>
    <row r="61" spans="1:5" x14ac:dyDescent="0.3">
      <c r="A61" t="s">
        <v>3</v>
      </c>
      <c r="B61" t="s">
        <v>34</v>
      </c>
      <c r="C61" t="s">
        <v>32</v>
      </c>
      <c r="D61" s="4">
        <v>7777</v>
      </c>
      <c r="E61" s="5">
        <v>504</v>
      </c>
    </row>
    <row r="62" spans="1:5" x14ac:dyDescent="0.3">
      <c r="A62" t="s">
        <v>9</v>
      </c>
      <c r="B62" t="s">
        <v>37</v>
      </c>
      <c r="C62" t="s">
        <v>29</v>
      </c>
      <c r="D62" s="4">
        <v>1085</v>
      </c>
      <c r="E62" s="5">
        <v>273</v>
      </c>
    </row>
    <row r="63" spans="1:5" x14ac:dyDescent="0.3">
      <c r="A63" t="s">
        <v>5</v>
      </c>
      <c r="B63" t="s">
        <v>37</v>
      </c>
      <c r="C63" t="s">
        <v>31</v>
      </c>
      <c r="D63" s="4">
        <v>182</v>
      </c>
      <c r="E63" s="5">
        <v>48</v>
      </c>
    </row>
    <row r="64" spans="1:5" x14ac:dyDescent="0.3">
      <c r="A64" t="s">
        <v>6</v>
      </c>
      <c r="B64" t="s">
        <v>34</v>
      </c>
      <c r="C64" t="s">
        <v>27</v>
      </c>
      <c r="D64" s="4">
        <v>4242</v>
      </c>
      <c r="E64" s="5">
        <v>207</v>
      </c>
    </row>
    <row r="65" spans="1:5" x14ac:dyDescent="0.3">
      <c r="A65" t="s">
        <v>6</v>
      </c>
      <c r="B65" t="s">
        <v>36</v>
      </c>
      <c r="C65" t="s">
        <v>32</v>
      </c>
      <c r="D65" s="4">
        <v>6118</v>
      </c>
      <c r="E65" s="5">
        <v>9</v>
      </c>
    </row>
    <row r="66" spans="1:5" x14ac:dyDescent="0.3">
      <c r="A66" t="s">
        <v>10</v>
      </c>
      <c r="B66" t="s">
        <v>36</v>
      </c>
      <c r="C66" t="s">
        <v>23</v>
      </c>
      <c r="D66" s="4">
        <v>2317</v>
      </c>
      <c r="E66" s="5">
        <v>261</v>
      </c>
    </row>
    <row r="67" spans="1:5" x14ac:dyDescent="0.3">
      <c r="A67" t="s">
        <v>6</v>
      </c>
      <c r="B67" t="s">
        <v>38</v>
      </c>
      <c r="C67" t="s">
        <v>16</v>
      </c>
      <c r="D67" s="4">
        <v>938</v>
      </c>
      <c r="E67" s="5">
        <v>6</v>
      </c>
    </row>
    <row r="68" spans="1:5" x14ac:dyDescent="0.3">
      <c r="A68" t="s">
        <v>8</v>
      </c>
      <c r="B68" t="s">
        <v>37</v>
      </c>
      <c r="C68" t="s">
        <v>15</v>
      </c>
      <c r="D68" s="4">
        <v>9709</v>
      </c>
      <c r="E68" s="5">
        <v>30</v>
      </c>
    </row>
    <row r="69" spans="1:5" x14ac:dyDescent="0.3">
      <c r="A69" t="s">
        <v>7</v>
      </c>
      <c r="B69" t="s">
        <v>34</v>
      </c>
      <c r="C69" t="s">
        <v>20</v>
      </c>
      <c r="D69" s="4">
        <v>2205</v>
      </c>
      <c r="E69" s="5">
        <v>138</v>
      </c>
    </row>
    <row r="70" spans="1:5" x14ac:dyDescent="0.3">
      <c r="A70" t="s">
        <v>7</v>
      </c>
      <c r="B70" t="s">
        <v>37</v>
      </c>
      <c r="C70" t="s">
        <v>17</v>
      </c>
      <c r="D70" s="4">
        <v>4487</v>
      </c>
      <c r="E70" s="5">
        <v>111</v>
      </c>
    </row>
    <row r="71" spans="1:5" x14ac:dyDescent="0.3">
      <c r="A71" t="s">
        <v>5</v>
      </c>
      <c r="B71" t="s">
        <v>35</v>
      </c>
      <c r="C71" t="s">
        <v>18</v>
      </c>
      <c r="D71" s="4">
        <v>2415</v>
      </c>
      <c r="E71" s="5">
        <v>15</v>
      </c>
    </row>
    <row r="72" spans="1:5" x14ac:dyDescent="0.3">
      <c r="A72" t="s">
        <v>40</v>
      </c>
      <c r="B72" t="s">
        <v>34</v>
      </c>
      <c r="C72" t="s">
        <v>19</v>
      </c>
      <c r="D72" s="4">
        <v>4018</v>
      </c>
      <c r="E72" s="5">
        <v>162</v>
      </c>
    </row>
    <row r="73" spans="1:5" x14ac:dyDescent="0.3">
      <c r="A73" t="s">
        <v>5</v>
      </c>
      <c r="B73" t="s">
        <v>34</v>
      </c>
      <c r="C73" t="s">
        <v>19</v>
      </c>
      <c r="D73" s="4">
        <v>861</v>
      </c>
      <c r="E73" s="5">
        <v>195</v>
      </c>
    </row>
    <row r="74" spans="1:5" x14ac:dyDescent="0.3">
      <c r="A74" t="s">
        <v>10</v>
      </c>
      <c r="B74" t="s">
        <v>38</v>
      </c>
      <c r="C74" t="s">
        <v>14</v>
      </c>
      <c r="D74" s="4">
        <v>5586</v>
      </c>
      <c r="E74" s="5">
        <v>525</v>
      </c>
    </row>
    <row r="75" spans="1:5" x14ac:dyDescent="0.3">
      <c r="A75" t="s">
        <v>7</v>
      </c>
      <c r="B75" t="s">
        <v>34</v>
      </c>
      <c r="C75" t="s">
        <v>33</v>
      </c>
      <c r="D75" s="4">
        <v>2226</v>
      </c>
      <c r="E75" s="5">
        <v>48</v>
      </c>
    </row>
    <row r="76" spans="1:5" x14ac:dyDescent="0.3">
      <c r="A76" t="s">
        <v>9</v>
      </c>
      <c r="B76" t="s">
        <v>34</v>
      </c>
      <c r="C76" t="s">
        <v>28</v>
      </c>
      <c r="D76" s="4">
        <v>14329</v>
      </c>
      <c r="E76" s="5">
        <v>150</v>
      </c>
    </row>
    <row r="77" spans="1:5" x14ac:dyDescent="0.3">
      <c r="A77" t="s">
        <v>9</v>
      </c>
      <c r="B77" t="s">
        <v>34</v>
      </c>
      <c r="C77" t="s">
        <v>20</v>
      </c>
      <c r="D77" s="4">
        <v>8463</v>
      </c>
      <c r="E77" s="5">
        <v>492</v>
      </c>
    </row>
    <row r="78" spans="1:5" x14ac:dyDescent="0.3">
      <c r="A78" t="s">
        <v>5</v>
      </c>
      <c r="B78" t="s">
        <v>34</v>
      </c>
      <c r="C78" t="s">
        <v>29</v>
      </c>
      <c r="D78" s="4">
        <v>2891</v>
      </c>
      <c r="E78" s="5">
        <v>102</v>
      </c>
    </row>
    <row r="79" spans="1:5" x14ac:dyDescent="0.3">
      <c r="A79" t="s">
        <v>3</v>
      </c>
      <c r="B79" t="s">
        <v>36</v>
      </c>
      <c r="C79" t="s">
        <v>23</v>
      </c>
      <c r="D79" s="4">
        <v>3773</v>
      </c>
      <c r="E79" s="5">
        <v>165</v>
      </c>
    </row>
    <row r="80" spans="1:5" x14ac:dyDescent="0.3">
      <c r="A80" t="s">
        <v>41</v>
      </c>
      <c r="B80" t="s">
        <v>36</v>
      </c>
      <c r="C80" t="s">
        <v>28</v>
      </c>
      <c r="D80" s="4">
        <v>854</v>
      </c>
      <c r="E80" s="5">
        <v>309</v>
      </c>
    </row>
    <row r="81" spans="1:5" x14ac:dyDescent="0.3">
      <c r="A81" t="s">
        <v>6</v>
      </c>
      <c r="B81" t="s">
        <v>36</v>
      </c>
      <c r="C81" t="s">
        <v>17</v>
      </c>
      <c r="D81" s="4">
        <v>4970</v>
      </c>
      <c r="E81" s="5">
        <v>156</v>
      </c>
    </row>
    <row r="82" spans="1:5" x14ac:dyDescent="0.3">
      <c r="A82" t="s">
        <v>9</v>
      </c>
      <c r="B82" t="s">
        <v>35</v>
      </c>
      <c r="C82" t="s">
        <v>26</v>
      </c>
      <c r="D82" s="4">
        <v>98</v>
      </c>
      <c r="E82" s="5">
        <v>159</v>
      </c>
    </row>
    <row r="83" spans="1:5" x14ac:dyDescent="0.3">
      <c r="A83" t="s">
        <v>5</v>
      </c>
      <c r="B83" t="s">
        <v>35</v>
      </c>
      <c r="C83" t="s">
        <v>15</v>
      </c>
      <c r="D83" s="4">
        <v>13391</v>
      </c>
      <c r="E83" s="5">
        <v>201</v>
      </c>
    </row>
    <row r="84" spans="1:5" x14ac:dyDescent="0.3">
      <c r="A84" t="s">
        <v>8</v>
      </c>
      <c r="B84" t="s">
        <v>39</v>
      </c>
      <c r="C84" t="s">
        <v>31</v>
      </c>
      <c r="D84" s="4">
        <v>8890</v>
      </c>
      <c r="E84" s="5">
        <v>210</v>
      </c>
    </row>
    <row r="85" spans="1:5" x14ac:dyDescent="0.3">
      <c r="A85" t="s">
        <v>2</v>
      </c>
      <c r="B85" t="s">
        <v>38</v>
      </c>
      <c r="C85" t="s">
        <v>13</v>
      </c>
      <c r="D85" s="4">
        <v>56</v>
      </c>
      <c r="E85" s="5">
        <v>51</v>
      </c>
    </row>
    <row r="86" spans="1:5" x14ac:dyDescent="0.3">
      <c r="A86" t="s">
        <v>3</v>
      </c>
      <c r="B86" t="s">
        <v>36</v>
      </c>
      <c r="C86" t="s">
        <v>25</v>
      </c>
      <c r="D86" s="4">
        <v>3339</v>
      </c>
      <c r="E86" s="5">
        <v>39</v>
      </c>
    </row>
    <row r="87" spans="1:5" x14ac:dyDescent="0.3">
      <c r="A87" t="s">
        <v>10</v>
      </c>
      <c r="B87" t="s">
        <v>35</v>
      </c>
      <c r="C87" t="s">
        <v>18</v>
      </c>
      <c r="D87" s="4">
        <v>3808</v>
      </c>
      <c r="E87" s="5">
        <v>279</v>
      </c>
    </row>
    <row r="88" spans="1:5" x14ac:dyDescent="0.3">
      <c r="A88" t="s">
        <v>10</v>
      </c>
      <c r="B88" t="s">
        <v>38</v>
      </c>
      <c r="C88" t="s">
        <v>13</v>
      </c>
      <c r="D88" s="4">
        <v>63</v>
      </c>
      <c r="E88" s="5">
        <v>123</v>
      </c>
    </row>
    <row r="89" spans="1:5" x14ac:dyDescent="0.3">
      <c r="A89" t="s">
        <v>2</v>
      </c>
      <c r="B89" t="s">
        <v>39</v>
      </c>
      <c r="C89" t="s">
        <v>27</v>
      </c>
      <c r="D89" s="4">
        <v>7812</v>
      </c>
      <c r="E89" s="5">
        <v>81</v>
      </c>
    </row>
    <row r="90" spans="1:5" x14ac:dyDescent="0.3">
      <c r="A90" t="s">
        <v>40</v>
      </c>
      <c r="B90" t="s">
        <v>37</v>
      </c>
      <c r="C90" t="s">
        <v>19</v>
      </c>
      <c r="D90" s="4">
        <v>7693</v>
      </c>
      <c r="E90" s="5">
        <v>21</v>
      </c>
    </row>
    <row r="91" spans="1:5" x14ac:dyDescent="0.3">
      <c r="A91" t="s">
        <v>3</v>
      </c>
      <c r="B91" t="s">
        <v>36</v>
      </c>
      <c r="C91" t="s">
        <v>28</v>
      </c>
      <c r="D91" s="4">
        <v>973</v>
      </c>
      <c r="E91" s="5">
        <v>162</v>
      </c>
    </row>
    <row r="92" spans="1:5" x14ac:dyDescent="0.3">
      <c r="A92" t="s">
        <v>10</v>
      </c>
      <c r="B92" t="s">
        <v>35</v>
      </c>
      <c r="C92" t="s">
        <v>21</v>
      </c>
      <c r="D92" s="4">
        <v>567</v>
      </c>
      <c r="E92" s="5">
        <v>228</v>
      </c>
    </row>
    <row r="93" spans="1:5" x14ac:dyDescent="0.3">
      <c r="A93" t="s">
        <v>10</v>
      </c>
      <c r="B93" t="s">
        <v>36</v>
      </c>
      <c r="C93" t="s">
        <v>29</v>
      </c>
      <c r="D93" s="4">
        <v>2471</v>
      </c>
      <c r="E93" s="5">
        <v>342</v>
      </c>
    </row>
    <row r="94" spans="1:5" x14ac:dyDescent="0.3">
      <c r="A94" t="s">
        <v>5</v>
      </c>
      <c r="B94" t="s">
        <v>38</v>
      </c>
      <c r="C94" t="s">
        <v>13</v>
      </c>
      <c r="D94" s="4">
        <v>7189</v>
      </c>
      <c r="E94" s="5">
        <v>54</v>
      </c>
    </row>
    <row r="95" spans="1:5" x14ac:dyDescent="0.3">
      <c r="A95" t="s">
        <v>41</v>
      </c>
      <c r="B95" t="s">
        <v>35</v>
      </c>
      <c r="C95" t="s">
        <v>28</v>
      </c>
      <c r="D95" s="4">
        <v>7455</v>
      </c>
      <c r="E95" s="5">
        <v>216</v>
      </c>
    </row>
    <row r="96" spans="1:5" x14ac:dyDescent="0.3">
      <c r="A96" t="s">
        <v>3</v>
      </c>
      <c r="B96" t="s">
        <v>34</v>
      </c>
      <c r="C96" t="s">
        <v>26</v>
      </c>
      <c r="D96" s="4">
        <v>3108</v>
      </c>
      <c r="E96" s="5">
        <v>54</v>
      </c>
    </row>
    <row r="97" spans="1:5" x14ac:dyDescent="0.3">
      <c r="A97" t="s">
        <v>6</v>
      </c>
      <c r="B97" t="s">
        <v>38</v>
      </c>
      <c r="C97" t="s">
        <v>25</v>
      </c>
      <c r="D97" s="4">
        <v>469</v>
      </c>
      <c r="E97" s="5">
        <v>75</v>
      </c>
    </row>
    <row r="98" spans="1:5" x14ac:dyDescent="0.3">
      <c r="A98" t="s">
        <v>9</v>
      </c>
      <c r="B98" t="s">
        <v>37</v>
      </c>
      <c r="C98" t="s">
        <v>23</v>
      </c>
      <c r="D98" s="4">
        <v>2737</v>
      </c>
      <c r="E98" s="5">
        <v>93</v>
      </c>
    </row>
    <row r="99" spans="1:5" x14ac:dyDescent="0.3">
      <c r="A99" t="s">
        <v>9</v>
      </c>
      <c r="B99" t="s">
        <v>37</v>
      </c>
      <c r="C99" t="s">
        <v>25</v>
      </c>
      <c r="D99" s="4">
        <v>4305</v>
      </c>
      <c r="E99" s="5">
        <v>156</v>
      </c>
    </row>
    <row r="100" spans="1:5" x14ac:dyDescent="0.3">
      <c r="A100" t="s">
        <v>9</v>
      </c>
      <c r="B100" t="s">
        <v>38</v>
      </c>
      <c r="C100" t="s">
        <v>17</v>
      </c>
      <c r="D100" s="4">
        <v>2408</v>
      </c>
      <c r="E100" s="5">
        <v>9</v>
      </c>
    </row>
    <row r="101" spans="1:5" x14ac:dyDescent="0.3">
      <c r="A101" t="s">
        <v>3</v>
      </c>
      <c r="B101" t="s">
        <v>36</v>
      </c>
      <c r="C101" t="s">
        <v>19</v>
      </c>
      <c r="D101" s="4">
        <v>1281</v>
      </c>
      <c r="E101" s="5">
        <v>18</v>
      </c>
    </row>
    <row r="102" spans="1:5" x14ac:dyDescent="0.3">
      <c r="A102" t="s">
        <v>40</v>
      </c>
      <c r="B102" t="s">
        <v>35</v>
      </c>
      <c r="C102" t="s">
        <v>32</v>
      </c>
      <c r="D102" s="4">
        <v>12348</v>
      </c>
      <c r="E102" s="5">
        <v>234</v>
      </c>
    </row>
    <row r="103" spans="1:5" x14ac:dyDescent="0.3">
      <c r="A103" t="s">
        <v>3</v>
      </c>
      <c r="B103" t="s">
        <v>34</v>
      </c>
      <c r="C103" t="s">
        <v>28</v>
      </c>
      <c r="D103" s="4">
        <v>3689</v>
      </c>
      <c r="E103" s="5">
        <v>312</v>
      </c>
    </row>
    <row r="104" spans="1:5" x14ac:dyDescent="0.3">
      <c r="A104" t="s">
        <v>7</v>
      </c>
      <c r="B104" t="s">
        <v>36</v>
      </c>
      <c r="C104" t="s">
        <v>19</v>
      </c>
      <c r="D104" s="4">
        <v>2870</v>
      </c>
      <c r="E104" s="5">
        <v>300</v>
      </c>
    </row>
    <row r="105" spans="1:5" x14ac:dyDescent="0.3">
      <c r="A105" t="s">
        <v>2</v>
      </c>
      <c r="B105" t="s">
        <v>36</v>
      </c>
      <c r="C105" t="s">
        <v>27</v>
      </c>
      <c r="D105" s="4">
        <v>798</v>
      </c>
      <c r="E105" s="5">
        <v>519</v>
      </c>
    </row>
    <row r="106" spans="1:5" x14ac:dyDescent="0.3">
      <c r="A106" t="s">
        <v>41</v>
      </c>
      <c r="B106" t="s">
        <v>37</v>
      </c>
      <c r="C106" t="s">
        <v>21</v>
      </c>
      <c r="D106" s="4">
        <v>2933</v>
      </c>
      <c r="E106" s="5">
        <v>9</v>
      </c>
    </row>
    <row r="107" spans="1:5" x14ac:dyDescent="0.3">
      <c r="A107" t="s">
        <v>5</v>
      </c>
      <c r="B107" t="s">
        <v>35</v>
      </c>
      <c r="C107" t="s">
        <v>4</v>
      </c>
      <c r="D107" s="4">
        <v>2744</v>
      </c>
      <c r="E107" s="5">
        <v>9</v>
      </c>
    </row>
    <row r="108" spans="1:5" x14ac:dyDescent="0.3">
      <c r="A108" t="s">
        <v>40</v>
      </c>
      <c r="B108" t="s">
        <v>36</v>
      </c>
      <c r="C108" t="s">
        <v>33</v>
      </c>
      <c r="D108" s="4">
        <v>9772</v>
      </c>
      <c r="E108" s="5">
        <v>90</v>
      </c>
    </row>
    <row r="109" spans="1:5" x14ac:dyDescent="0.3">
      <c r="A109" t="s">
        <v>7</v>
      </c>
      <c r="B109" t="s">
        <v>34</v>
      </c>
      <c r="C109" t="s">
        <v>25</v>
      </c>
      <c r="D109" s="4">
        <v>1568</v>
      </c>
      <c r="E109" s="5">
        <v>96</v>
      </c>
    </row>
    <row r="110" spans="1:5" x14ac:dyDescent="0.3">
      <c r="A110" t="s">
        <v>2</v>
      </c>
      <c r="B110" t="s">
        <v>36</v>
      </c>
      <c r="C110" t="s">
        <v>16</v>
      </c>
      <c r="D110" s="4">
        <v>11417</v>
      </c>
      <c r="E110" s="5">
        <v>21</v>
      </c>
    </row>
    <row r="111" spans="1:5" x14ac:dyDescent="0.3">
      <c r="A111" t="s">
        <v>40</v>
      </c>
      <c r="B111" t="s">
        <v>34</v>
      </c>
      <c r="C111" t="s">
        <v>26</v>
      </c>
      <c r="D111" s="4">
        <v>6748</v>
      </c>
      <c r="E111" s="5">
        <v>48</v>
      </c>
    </row>
    <row r="112" spans="1:5" x14ac:dyDescent="0.3">
      <c r="A112" t="s">
        <v>10</v>
      </c>
      <c r="B112" t="s">
        <v>36</v>
      </c>
      <c r="C112" t="s">
        <v>27</v>
      </c>
      <c r="D112" s="4">
        <v>1407</v>
      </c>
      <c r="E112" s="5">
        <v>72</v>
      </c>
    </row>
    <row r="113" spans="1:5" x14ac:dyDescent="0.3">
      <c r="A113" t="s">
        <v>8</v>
      </c>
      <c r="B113" t="s">
        <v>35</v>
      </c>
      <c r="C113" t="s">
        <v>29</v>
      </c>
      <c r="D113" s="4">
        <v>2023</v>
      </c>
      <c r="E113" s="5">
        <v>168</v>
      </c>
    </row>
    <row r="114" spans="1:5" x14ac:dyDescent="0.3">
      <c r="A114" t="s">
        <v>5</v>
      </c>
      <c r="B114" t="s">
        <v>39</v>
      </c>
      <c r="C114" t="s">
        <v>26</v>
      </c>
      <c r="D114" s="4">
        <v>5236</v>
      </c>
      <c r="E114" s="5">
        <v>51</v>
      </c>
    </row>
    <row r="115" spans="1:5" x14ac:dyDescent="0.3">
      <c r="A115" t="s">
        <v>41</v>
      </c>
      <c r="B115" t="s">
        <v>36</v>
      </c>
      <c r="C115" t="s">
        <v>19</v>
      </c>
      <c r="D115" s="4">
        <v>1925</v>
      </c>
      <c r="E115" s="5">
        <v>192</v>
      </c>
    </row>
    <row r="116" spans="1:5" x14ac:dyDescent="0.3">
      <c r="A116" t="s">
        <v>7</v>
      </c>
      <c r="B116" t="s">
        <v>37</v>
      </c>
      <c r="C116" t="s">
        <v>14</v>
      </c>
      <c r="D116" s="4">
        <v>6608</v>
      </c>
      <c r="E116" s="5">
        <v>225</v>
      </c>
    </row>
    <row r="117" spans="1:5" x14ac:dyDescent="0.3">
      <c r="A117" t="s">
        <v>6</v>
      </c>
      <c r="B117" t="s">
        <v>34</v>
      </c>
      <c r="C117" t="s">
        <v>26</v>
      </c>
      <c r="D117" s="4">
        <v>8008</v>
      </c>
      <c r="E117" s="5">
        <v>456</v>
      </c>
    </row>
    <row r="118" spans="1:5" x14ac:dyDescent="0.3">
      <c r="A118" t="s">
        <v>10</v>
      </c>
      <c r="B118" t="s">
        <v>34</v>
      </c>
      <c r="C118" t="s">
        <v>25</v>
      </c>
      <c r="D118" s="4">
        <v>1428</v>
      </c>
      <c r="E118" s="5">
        <v>93</v>
      </c>
    </row>
    <row r="119" spans="1:5" x14ac:dyDescent="0.3">
      <c r="A119" t="s">
        <v>6</v>
      </c>
      <c r="B119" t="s">
        <v>34</v>
      </c>
      <c r="C119" t="s">
        <v>4</v>
      </c>
      <c r="D119" s="4">
        <v>525</v>
      </c>
      <c r="E119" s="5">
        <v>48</v>
      </c>
    </row>
    <row r="120" spans="1:5" x14ac:dyDescent="0.3">
      <c r="A120" t="s">
        <v>6</v>
      </c>
      <c r="B120" t="s">
        <v>37</v>
      </c>
      <c r="C120" t="s">
        <v>18</v>
      </c>
      <c r="D120" s="4">
        <v>1505</v>
      </c>
      <c r="E120" s="5">
        <v>102</v>
      </c>
    </row>
    <row r="121" spans="1:5" x14ac:dyDescent="0.3">
      <c r="A121" t="s">
        <v>7</v>
      </c>
      <c r="B121" t="s">
        <v>35</v>
      </c>
      <c r="C121" t="s">
        <v>30</v>
      </c>
      <c r="D121" s="4">
        <v>6755</v>
      </c>
      <c r="E121" s="5">
        <v>252</v>
      </c>
    </row>
    <row r="122" spans="1:5" x14ac:dyDescent="0.3">
      <c r="A122" t="s">
        <v>2</v>
      </c>
      <c r="B122" t="s">
        <v>37</v>
      </c>
      <c r="C122" t="s">
        <v>18</v>
      </c>
      <c r="D122" s="4">
        <v>11571</v>
      </c>
      <c r="E122" s="5">
        <v>138</v>
      </c>
    </row>
    <row r="123" spans="1:5" x14ac:dyDescent="0.3">
      <c r="A123" t="s">
        <v>40</v>
      </c>
      <c r="B123" t="s">
        <v>38</v>
      </c>
      <c r="C123" t="s">
        <v>25</v>
      </c>
      <c r="D123" s="4">
        <v>2541</v>
      </c>
      <c r="E123" s="5">
        <v>90</v>
      </c>
    </row>
    <row r="124" spans="1:5" x14ac:dyDescent="0.3">
      <c r="A124" t="s">
        <v>41</v>
      </c>
      <c r="B124" t="s">
        <v>37</v>
      </c>
      <c r="C124" t="s">
        <v>30</v>
      </c>
      <c r="D124" s="4">
        <v>1526</v>
      </c>
      <c r="E124" s="5">
        <v>240</v>
      </c>
    </row>
    <row r="125" spans="1:5" x14ac:dyDescent="0.3">
      <c r="A125" t="s">
        <v>40</v>
      </c>
      <c r="B125" t="s">
        <v>38</v>
      </c>
      <c r="C125" t="s">
        <v>4</v>
      </c>
      <c r="D125" s="4">
        <v>6125</v>
      </c>
      <c r="E125" s="5">
        <v>102</v>
      </c>
    </row>
    <row r="126" spans="1:5" x14ac:dyDescent="0.3">
      <c r="A126" t="s">
        <v>41</v>
      </c>
      <c r="B126" t="s">
        <v>35</v>
      </c>
      <c r="C126" t="s">
        <v>27</v>
      </c>
      <c r="D126" s="4">
        <v>847</v>
      </c>
      <c r="E126" s="5">
        <v>129</v>
      </c>
    </row>
    <row r="127" spans="1:5" x14ac:dyDescent="0.3">
      <c r="A127" t="s">
        <v>8</v>
      </c>
      <c r="B127" t="s">
        <v>35</v>
      </c>
      <c r="C127" t="s">
        <v>27</v>
      </c>
      <c r="D127" s="4">
        <v>4753</v>
      </c>
      <c r="E127" s="5">
        <v>300</v>
      </c>
    </row>
    <row r="128" spans="1:5" x14ac:dyDescent="0.3">
      <c r="A128" t="s">
        <v>6</v>
      </c>
      <c r="B128" t="s">
        <v>38</v>
      </c>
      <c r="C128" t="s">
        <v>33</v>
      </c>
      <c r="D128" s="4">
        <v>959</v>
      </c>
      <c r="E128" s="5">
        <v>135</v>
      </c>
    </row>
    <row r="129" spans="1:5" x14ac:dyDescent="0.3">
      <c r="A129" t="s">
        <v>7</v>
      </c>
      <c r="B129" t="s">
        <v>35</v>
      </c>
      <c r="C129" t="s">
        <v>24</v>
      </c>
      <c r="D129" s="4">
        <v>2793</v>
      </c>
      <c r="E129" s="5">
        <v>114</v>
      </c>
    </row>
    <row r="130" spans="1:5" x14ac:dyDescent="0.3">
      <c r="A130" t="s">
        <v>7</v>
      </c>
      <c r="B130" t="s">
        <v>35</v>
      </c>
      <c r="C130" t="s">
        <v>14</v>
      </c>
      <c r="D130" s="4">
        <v>4606</v>
      </c>
      <c r="E130" s="5">
        <v>63</v>
      </c>
    </row>
    <row r="131" spans="1:5" x14ac:dyDescent="0.3">
      <c r="A131" t="s">
        <v>7</v>
      </c>
      <c r="B131" t="s">
        <v>36</v>
      </c>
      <c r="C131" t="s">
        <v>29</v>
      </c>
      <c r="D131" s="4">
        <v>5551</v>
      </c>
      <c r="E131" s="5">
        <v>252</v>
      </c>
    </row>
    <row r="132" spans="1:5" x14ac:dyDescent="0.3">
      <c r="A132" t="s">
        <v>10</v>
      </c>
      <c r="B132" t="s">
        <v>36</v>
      </c>
      <c r="C132" t="s">
        <v>32</v>
      </c>
      <c r="D132" s="4">
        <v>6657</v>
      </c>
      <c r="E132" s="5">
        <v>303</v>
      </c>
    </row>
    <row r="133" spans="1:5" x14ac:dyDescent="0.3">
      <c r="A133" t="s">
        <v>7</v>
      </c>
      <c r="B133" t="s">
        <v>39</v>
      </c>
      <c r="C133" t="s">
        <v>17</v>
      </c>
      <c r="D133" s="4">
        <v>4438</v>
      </c>
      <c r="E133" s="5">
        <v>246</v>
      </c>
    </row>
    <row r="134" spans="1:5" x14ac:dyDescent="0.3">
      <c r="A134" t="s">
        <v>8</v>
      </c>
      <c r="B134" t="s">
        <v>38</v>
      </c>
      <c r="C134" t="s">
        <v>22</v>
      </c>
      <c r="D134" s="4">
        <v>168</v>
      </c>
      <c r="E134" s="5">
        <v>84</v>
      </c>
    </row>
    <row r="135" spans="1:5" x14ac:dyDescent="0.3">
      <c r="A135" t="s">
        <v>7</v>
      </c>
      <c r="B135" t="s">
        <v>34</v>
      </c>
      <c r="C135" t="s">
        <v>17</v>
      </c>
      <c r="D135" s="4">
        <v>7777</v>
      </c>
      <c r="E135" s="5">
        <v>39</v>
      </c>
    </row>
    <row r="136" spans="1:5" x14ac:dyDescent="0.3">
      <c r="A136" t="s">
        <v>5</v>
      </c>
      <c r="B136" t="s">
        <v>36</v>
      </c>
      <c r="C136" t="s">
        <v>17</v>
      </c>
      <c r="D136" s="4">
        <v>3339</v>
      </c>
      <c r="E136" s="5">
        <v>348</v>
      </c>
    </row>
    <row r="137" spans="1:5" x14ac:dyDescent="0.3">
      <c r="A137" t="s">
        <v>7</v>
      </c>
      <c r="B137" t="s">
        <v>37</v>
      </c>
      <c r="C137" t="s">
        <v>33</v>
      </c>
      <c r="D137" s="4">
        <v>6391</v>
      </c>
      <c r="E137" s="5">
        <v>48</v>
      </c>
    </row>
    <row r="138" spans="1:5" x14ac:dyDescent="0.3">
      <c r="A138" t="s">
        <v>5</v>
      </c>
      <c r="B138" t="s">
        <v>37</v>
      </c>
      <c r="C138" t="s">
        <v>22</v>
      </c>
      <c r="D138" s="4">
        <v>518</v>
      </c>
      <c r="E138" s="5">
        <v>75</v>
      </c>
    </row>
    <row r="139" spans="1:5" x14ac:dyDescent="0.3">
      <c r="A139" t="s">
        <v>7</v>
      </c>
      <c r="B139" t="s">
        <v>38</v>
      </c>
      <c r="C139" t="s">
        <v>28</v>
      </c>
      <c r="D139" s="4">
        <v>5677</v>
      </c>
      <c r="E139" s="5">
        <v>258</v>
      </c>
    </row>
    <row r="140" spans="1:5" x14ac:dyDescent="0.3">
      <c r="A140" t="s">
        <v>6</v>
      </c>
      <c r="B140" t="s">
        <v>39</v>
      </c>
      <c r="C140" t="s">
        <v>17</v>
      </c>
      <c r="D140" s="4">
        <v>6048</v>
      </c>
      <c r="E140" s="5">
        <v>27</v>
      </c>
    </row>
    <row r="141" spans="1:5" x14ac:dyDescent="0.3">
      <c r="A141" t="s">
        <v>8</v>
      </c>
      <c r="B141" t="s">
        <v>38</v>
      </c>
      <c r="C141" t="s">
        <v>32</v>
      </c>
      <c r="D141" s="4">
        <v>3752</v>
      </c>
      <c r="E141" s="5">
        <v>213</v>
      </c>
    </row>
    <row r="142" spans="1:5" x14ac:dyDescent="0.3">
      <c r="A142" t="s">
        <v>5</v>
      </c>
      <c r="B142" t="s">
        <v>35</v>
      </c>
      <c r="C142" t="s">
        <v>29</v>
      </c>
      <c r="D142" s="4">
        <v>4480</v>
      </c>
      <c r="E142" s="5">
        <v>357</v>
      </c>
    </row>
    <row r="143" spans="1:5" x14ac:dyDescent="0.3">
      <c r="A143" t="s">
        <v>9</v>
      </c>
      <c r="B143" t="s">
        <v>37</v>
      </c>
      <c r="C143" t="s">
        <v>4</v>
      </c>
      <c r="D143" s="4">
        <v>259</v>
      </c>
      <c r="E143" s="5">
        <v>207</v>
      </c>
    </row>
    <row r="144" spans="1:5" x14ac:dyDescent="0.3">
      <c r="A144" t="s">
        <v>8</v>
      </c>
      <c r="B144" t="s">
        <v>37</v>
      </c>
      <c r="C144" t="s">
        <v>30</v>
      </c>
      <c r="D144" s="4">
        <v>42</v>
      </c>
      <c r="E144" s="5">
        <v>150</v>
      </c>
    </row>
    <row r="145" spans="1:5" x14ac:dyDescent="0.3">
      <c r="A145" t="s">
        <v>41</v>
      </c>
      <c r="B145" t="s">
        <v>36</v>
      </c>
      <c r="C145" t="s">
        <v>26</v>
      </c>
      <c r="D145" s="4">
        <v>98</v>
      </c>
      <c r="E145" s="5">
        <v>204</v>
      </c>
    </row>
    <row r="146" spans="1:5" x14ac:dyDescent="0.3">
      <c r="A146" t="s">
        <v>7</v>
      </c>
      <c r="B146" t="s">
        <v>35</v>
      </c>
      <c r="C146" t="s">
        <v>27</v>
      </c>
      <c r="D146" s="4">
        <v>2478</v>
      </c>
      <c r="E146" s="5">
        <v>21</v>
      </c>
    </row>
    <row r="147" spans="1:5" x14ac:dyDescent="0.3">
      <c r="A147" t="s">
        <v>41</v>
      </c>
      <c r="B147" t="s">
        <v>34</v>
      </c>
      <c r="C147" t="s">
        <v>33</v>
      </c>
      <c r="D147" s="4">
        <v>7847</v>
      </c>
      <c r="E147" s="5">
        <v>174</v>
      </c>
    </row>
    <row r="148" spans="1:5" x14ac:dyDescent="0.3">
      <c r="A148" t="s">
        <v>2</v>
      </c>
      <c r="B148" t="s">
        <v>37</v>
      </c>
      <c r="C148" t="s">
        <v>17</v>
      </c>
      <c r="D148" s="4">
        <v>9926</v>
      </c>
      <c r="E148" s="5">
        <v>201</v>
      </c>
    </row>
    <row r="149" spans="1:5" x14ac:dyDescent="0.3">
      <c r="A149" t="s">
        <v>8</v>
      </c>
      <c r="B149" t="s">
        <v>38</v>
      </c>
      <c r="C149" t="s">
        <v>13</v>
      </c>
      <c r="D149" s="4">
        <v>819</v>
      </c>
      <c r="E149" s="5">
        <v>510</v>
      </c>
    </row>
    <row r="150" spans="1:5" x14ac:dyDescent="0.3">
      <c r="A150" t="s">
        <v>6</v>
      </c>
      <c r="B150" t="s">
        <v>39</v>
      </c>
      <c r="C150" t="s">
        <v>29</v>
      </c>
      <c r="D150" s="4">
        <v>3052</v>
      </c>
      <c r="E150" s="5">
        <v>378</v>
      </c>
    </row>
    <row r="151" spans="1:5" x14ac:dyDescent="0.3">
      <c r="A151" t="s">
        <v>9</v>
      </c>
      <c r="B151" t="s">
        <v>34</v>
      </c>
      <c r="C151" t="s">
        <v>21</v>
      </c>
      <c r="D151" s="4">
        <v>6832</v>
      </c>
      <c r="E151" s="5">
        <v>27</v>
      </c>
    </row>
    <row r="152" spans="1:5" x14ac:dyDescent="0.3">
      <c r="A152" t="s">
        <v>2</v>
      </c>
      <c r="B152" t="s">
        <v>39</v>
      </c>
      <c r="C152" t="s">
        <v>16</v>
      </c>
      <c r="D152" s="4">
        <v>2016</v>
      </c>
      <c r="E152" s="5">
        <v>117</v>
      </c>
    </row>
    <row r="153" spans="1:5" x14ac:dyDescent="0.3">
      <c r="A153" t="s">
        <v>6</v>
      </c>
      <c r="B153" t="s">
        <v>38</v>
      </c>
      <c r="C153" t="s">
        <v>21</v>
      </c>
      <c r="D153" s="4">
        <v>7322</v>
      </c>
      <c r="E153" s="5">
        <v>36</v>
      </c>
    </row>
    <row r="154" spans="1:5" x14ac:dyDescent="0.3">
      <c r="A154" t="s">
        <v>8</v>
      </c>
      <c r="B154" t="s">
        <v>35</v>
      </c>
      <c r="C154" t="s">
        <v>33</v>
      </c>
      <c r="D154" s="4">
        <v>357</v>
      </c>
      <c r="E154" s="5">
        <v>126</v>
      </c>
    </row>
    <row r="155" spans="1:5" x14ac:dyDescent="0.3">
      <c r="A155" t="s">
        <v>9</v>
      </c>
      <c r="B155" t="s">
        <v>39</v>
      </c>
      <c r="C155" t="s">
        <v>25</v>
      </c>
      <c r="D155" s="4">
        <v>3192</v>
      </c>
      <c r="E155" s="5">
        <v>72</v>
      </c>
    </row>
    <row r="156" spans="1:5" x14ac:dyDescent="0.3">
      <c r="A156" t="s">
        <v>7</v>
      </c>
      <c r="B156" t="s">
        <v>36</v>
      </c>
      <c r="C156" t="s">
        <v>22</v>
      </c>
      <c r="D156" s="4">
        <v>8435</v>
      </c>
      <c r="E156" s="5">
        <v>42</v>
      </c>
    </row>
    <row r="157" spans="1:5" x14ac:dyDescent="0.3">
      <c r="A157" t="s">
        <v>40</v>
      </c>
      <c r="B157" t="s">
        <v>39</v>
      </c>
      <c r="C157" t="s">
        <v>29</v>
      </c>
      <c r="D157" s="4">
        <v>0</v>
      </c>
      <c r="E157" s="5">
        <v>135</v>
      </c>
    </row>
    <row r="158" spans="1:5" x14ac:dyDescent="0.3">
      <c r="A158" t="s">
        <v>7</v>
      </c>
      <c r="B158" t="s">
        <v>34</v>
      </c>
      <c r="C158" t="s">
        <v>24</v>
      </c>
      <c r="D158" s="4">
        <v>8862</v>
      </c>
      <c r="E158" s="5">
        <v>189</v>
      </c>
    </row>
    <row r="159" spans="1:5" x14ac:dyDescent="0.3">
      <c r="A159" t="s">
        <v>6</v>
      </c>
      <c r="B159" t="s">
        <v>37</v>
      </c>
      <c r="C159" t="s">
        <v>28</v>
      </c>
      <c r="D159" s="4">
        <v>3556</v>
      </c>
      <c r="E159" s="5">
        <v>459</v>
      </c>
    </row>
    <row r="160" spans="1:5" x14ac:dyDescent="0.3">
      <c r="A160" t="s">
        <v>5</v>
      </c>
      <c r="B160" t="s">
        <v>34</v>
      </c>
      <c r="C160" t="s">
        <v>15</v>
      </c>
      <c r="D160" s="4">
        <v>7280</v>
      </c>
      <c r="E160" s="5">
        <v>201</v>
      </c>
    </row>
    <row r="161" spans="1:5" x14ac:dyDescent="0.3">
      <c r="A161" t="s">
        <v>6</v>
      </c>
      <c r="B161" t="s">
        <v>34</v>
      </c>
      <c r="C161" t="s">
        <v>30</v>
      </c>
      <c r="D161" s="4">
        <v>3402</v>
      </c>
      <c r="E161" s="5">
        <v>366</v>
      </c>
    </row>
    <row r="162" spans="1:5" x14ac:dyDescent="0.3">
      <c r="A162" t="s">
        <v>3</v>
      </c>
      <c r="B162" t="s">
        <v>37</v>
      </c>
      <c r="C162" t="s">
        <v>29</v>
      </c>
      <c r="D162" s="4">
        <v>4592</v>
      </c>
      <c r="E162" s="5">
        <v>324</v>
      </c>
    </row>
    <row r="163" spans="1:5" x14ac:dyDescent="0.3">
      <c r="A163" t="s">
        <v>9</v>
      </c>
      <c r="B163" t="s">
        <v>35</v>
      </c>
      <c r="C163" t="s">
        <v>15</v>
      </c>
      <c r="D163" s="4">
        <v>7833</v>
      </c>
      <c r="E163" s="5">
        <v>243</v>
      </c>
    </row>
    <row r="164" spans="1:5" x14ac:dyDescent="0.3">
      <c r="A164" t="s">
        <v>2</v>
      </c>
      <c r="B164" t="s">
        <v>39</v>
      </c>
      <c r="C164" t="s">
        <v>21</v>
      </c>
      <c r="D164" s="4">
        <v>7651</v>
      </c>
      <c r="E164" s="5">
        <v>213</v>
      </c>
    </row>
    <row r="165" spans="1:5" x14ac:dyDescent="0.3">
      <c r="A165" t="s">
        <v>40</v>
      </c>
      <c r="B165" t="s">
        <v>35</v>
      </c>
      <c r="C165" t="s">
        <v>30</v>
      </c>
      <c r="D165" s="4">
        <v>2275</v>
      </c>
      <c r="E165" s="5">
        <v>447</v>
      </c>
    </row>
    <row r="166" spans="1:5" x14ac:dyDescent="0.3">
      <c r="A166" t="s">
        <v>40</v>
      </c>
      <c r="B166" t="s">
        <v>38</v>
      </c>
      <c r="C166" t="s">
        <v>13</v>
      </c>
      <c r="D166" s="4">
        <v>5670</v>
      </c>
      <c r="E166" s="5">
        <v>297</v>
      </c>
    </row>
    <row r="167" spans="1:5" x14ac:dyDescent="0.3">
      <c r="A167" t="s">
        <v>7</v>
      </c>
      <c r="B167" t="s">
        <v>35</v>
      </c>
      <c r="C167" t="s">
        <v>16</v>
      </c>
      <c r="D167" s="4">
        <v>2135</v>
      </c>
      <c r="E167" s="5">
        <v>27</v>
      </c>
    </row>
    <row r="168" spans="1:5" x14ac:dyDescent="0.3">
      <c r="A168" t="s">
        <v>40</v>
      </c>
      <c r="B168" t="s">
        <v>34</v>
      </c>
      <c r="C168" t="s">
        <v>23</v>
      </c>
      <c r="D168" s="4">
        <v>2779</v>
      </c>
      <c r="E168" s="5">
        <v>75</v>
      </c>
    </row>
    <row r="169" spans="1:5" x14ac:dyDescent="0.3">
      <c r="A169" t="s">
        <v>10</v>
      </c>
      <c r="B169" t="s">
        <v>39</v>
      </c>
      <c r="C169" t="s">
        <v>33</v>
      </c>
      <c r="D169" s="4">
        <v>12950</v>
      </c>
      <c r="E169" s="5">
        <v>30</v>
      </c>
    </row>
    <row r="170" spans="1:5" x14ac:dyDescent="0.3">
      <c r="A170" t="s">
        <v>7</v>
      </c>
      <c r="B170" t="s">
        <v>36</v>
      </c>
      <c r="C170" t="s">
        <v>18</v>
      </c>
      <c r="D170" s="4">
        <v>2646</v>
      </c>
      <c r="E170" s="5">
        <v>177</v>
      </c>
    </row>
    <row r="171" spans="1:5" x14ac:dyDescent="0.3">
      <c r="A171" t="s">
        <v>40</v>
      </c>
      <c r="B171" t="s">
        <v>34</v>
      </c>
      <c r="C171" t="s">
        <v>33</v>
      </c>
      <c r="D171" s="4">
        <v>3794</v>
      </c>
      <c r="E171" s="5">
        <v>159</v>
      </c>
    </row>
    <row r="172" spans="1:5" x14ac:dyDescent="0.3">
      <c r="A172" t="s">
        <v>3</v>
      </c>
      <c r="B172" t="s">
        <v>35</v>
      </c>
      <c r="C172" t="s">
        <v>33</v>
      </c>
      <c r="D172" s="4">
        <v>819</v>
      </c>
      <c r="E172" s="5">
        <v>306</v>
      </c>
    </row>
    <row r="173" spans="1:5" x14ac:dyDescent="0.3">
      <c r="A173" t="s">
        <v>3</v>
      </c>
      <c r="B173" t="s">
        <v>34</v>
      </c>
      <c r="C173" t="s">
        <v>20</v>
      </c>
      <c r="D173" s="4">
        <v>2583</v>
      </c>
      <c r="E173" s="5">
        <v>18</v>
      </c>
    </row>
    <row r="174" spans="1:5" x14ac:dyDescent="0.3">
      <c r="A174" t="s">
        <v>7</v>
      </c>
      <c r="B174" t="s">
        <v>35</v>
      </c>
      <c r="C174" t="s">
        <v>19</v>
      </c>
      <c r="D174" s="4">
        <v>4585</v>
      </c>
      <c r="E174" s="5">
        <v>240</v>
      </c>
    </row>
    <row r="175" spans="1:5" x14ac:dyDescent="0.3">
      <c r="A175" t="s">
        <v>5</v>
      </c>
      <c r="B175" t="s">
        <v>34</v>
      </c>
      <c r="C175" t="s">
        <v>33</v>
      </c>
      <c r="D175" s="4">
        <v>1652</v>
      </c>
      <c r="E175" s="5">
        <v>93</v>
      </c>
    </row>
    <row r="176" spans="1:5" x14ac:dyDescent="0.3">
      <c r="A176" t="s">
        <v>10</v>
      </c>
      <c r="B176" t="s">
        <v>34</v>
      </c>
      <c r="C176" t="s">
        <v>26</v>
      </c>
      <c r="D176" s="4">
        <v>4991</v>
      </c>
      <c r="E176" s="5">
        <v>9</v>
      </c>
    </row>
    <row r="177" spans="1:5" x14ac:dyDescent="0.3">
      <c r="A177" t="s">
        <v>8</v>
      </c>
      <c r="B177" t="s">
        <v>34</v>
      </c>
      <c r="C177" t="s">
        <v>16</v>
      </c>
      <c r="D177" s="4">
        <v>2009</v>
      </c>
      <c r="E177" s="5">
        <v>219</v>
      </c>
    </row>
    <row r="178" spans="1:5" x14ac:dyDescent="0.3">
      <c r="A178" t="s">
        <v>2</v>
      </c>
      <c r="B178" t="s">
        <v>39</v>
      </c>
      <c r="C178" t="s">
        <v>22</v>
      </c>
      <c r="D178" s="4">
        <v>1568</v>
      </c>
      <c r="E178" s="5">
        <v>141</v>
      </c>
    </row>
    <row r="179" spans="1:5" x14ac:dyDescent="0.3">
      <c r="A179" t="s">
        <v>41</v>
      </c>
      <c r="B179" t="s">
        <v>37</v>
      </c>
      <c r="C179" t="s">
        <v>20</v>
      </c>
      <c r="D179" s="4">
        <v>3388</v>
      </c>
      <c r="E179" s="5">
        <v>123</v>
      </c>
    </row>
    <row r="180" spans="1:5" x14ac:dyDescent="0.3">
      <c r="A180" t="s">
        <v>40</v>
      </c>
      <c r="B180" t="s">
        <v>38</v>
      </c>
      <c r="C180" t="s">
        <v>24</v>
      </c>
      <c r="D180" s="4">
        <v>623</v>
      </c>
      <c r="E180" s="5">
        <v>51</v>
      </c>
    </row>
    <row r="181" spans="1:5" x14ac:dyDescent="0.3">
      <c r="A181" t="s">
        <v>6</v>
      </c>
      <c r="B181" t="s">
        <v>36</v>
      </c>
      <c r="C181" t="s">
        <v>4</v>
      </c>
      <c r="D181" s="4">
        <v>10073</v>
      </c>
      <c r="E181" s="5">
        <v>120</v>
      </c>
    </row>
    <row r="182" spans="1:5" x14ac:dyDescent="0.3">
      <c r="A182" t="s">
        <v>8</v>
      </c>
      <c r="B182" t="s">
        <v>39</v>
      </c>
      <c r="C182" t="s">
        <v>26</v>
      </c>
      <c r="D182" s="4">
        <v>1561</v>
      </c>
      <c r="E182" s="5">
        <v>27</v>
      </c>
    </row>
    <row r="183" spans="1:5" x14ac:dyDescent="0.3">
      <c r="A183" t="s">
        <v>9</v>
      </c>
      <c r="B183" t="s">
        <v>36</v>
      </c>
      <c r="C183" t="s">
        <v>27</v>
      </c>
      <c r="D183" s="4">
        <v>11522</v>
      </c>
      <c r="E183" s="5">
        <v>204</v>
      </c>
    </row>
    <row r="184" spans="1:5" x14ac:dyDescent="0.3">
      <c r="A184" t="s">
        <v>6</v>
      </c>
      <c r="B184" t="s">
        <v>38</v>
      </c>
      <c r="C184" t="s">
        <v>13</v>
      </c>
      <c r="D184" s="4">
        <v>2317</v>
      </c>
      <c r="E184" s="5">
        <v>123</v>
      </c>
    </row>
    <row r="185" spans="1:5" x14ac:dyDescent="0.3">
      <c r="A185" t="s">
        <v>10</v>
      </c>
      <c r="B185" t="s">
        <v>37</v>
      </c>
      <c r="C185" t="s">
        <v>28</v>
      </c>
      <c r="D185" s="4">
        <v>3059</v>
      </c>
      <c r="E185" s="5">
        <v>27</v>
      </c>
    </row>
    <row r="186" spans="1:5" x14ac:dyDescent="0.3">
      <c r="A186" t="s">
        <v>41</v>
      </c>
      <c r="B186" t="s">
        <v>37</v>
      </c>
      <c r="C186" t="s">
        <v>26</v>
      </c>
      <c r="D186" s="4">
        <v>2324</v>
      </c>
      <c r="E186" s="5">
        <v>177</v>
      </c>
    </row>
    <row r="187" spans="1:5" x14ac:dyDescent="0.3">
      <c r="A187" t="s">
        <v>3</v>
      </c>
      <c r="B187" t="s">
        <v>39</v>
      </c>
      <c r="C187" t="s">
        <v>26</v>
      </c>
      <c r="D187" s="4">
        <v>4956</v>
      </c>
      <c r="E187" s="5">
        <v>171</v>
      </c>
    </row>
    <row r="188" spans="1:5" x14ac:dyDescent="0.3">
      <c r="A188" t="s">
        <v>10</v>
      </c>
      <c r="B188" t="s">
        <v>34</v>
      </c>
      <c r="C188" t="s">
        <v>19</v>
      </c>
      <c r="D188" s="4">
        <v>5355</v>
      </c>
      <c r="E188" s="5">
        <v>204</v>
      </c>
    </row>
    <row r="189" spans="1:5" x14ac:dyDescent="0.3">
      <c r="A189" t="s">
        <v>3</v>
      </c>
      <c r="B189" t="s">
        <v>34</v>
      </c>
      <c r="C189" t="s">
        <v>14</v>
      </c>
      <c r="D189" s="4">
        <v>7259</v>
      </c>
      <c r="E189" s="5">
        <v>276</v>
      </c>
    </row>
    <row r="190" spans="1:5" x14ac:dyDescent="0.3">
      <c r="A190" t="s">
        <v>8</v>
      </c>
      <c r="B190" t="s">
        <v>37</v>
      </c>
      <c r="C190" t="s">
        <v>26</v>
      </c>
      <c r="D190" s="4">
        <v>6279</v>
      </c>
      <c r="E190" s="5">
        <v>45</v>
      </c>
    </row>
    <row r="191" spans="1:5" x14ac:dyDescent="0.3">
      <c r="A191" t="s">
        <v>40</v>
      </c>
      <c r="B191" t="s">
        <v>38</v>
      </c>
      <c r="C191" t="s">
        <v>29</v>
      </c>
      <c r="D191" s="4">
        <v>2541</v>
      </c>
      <c r="E191" s="5">
        <v>45</v>
      </c>
    </row>
    <row r="192" spans="1:5" x14ac:dyDescent="0.3">
      <c r="A192" t="s">
        <v>6</v>
      </c>
      <c r="B192" t="s">
        <v>35</v>
      </c>
      <c r="C192" t="s">
        <v>27</v>
      </c>
      <c r="D192" s="4">
        <v>3864</v>
      </c>
      <c r="E192" s="5">
        <v>177</v>
      </c>
    </row>
    <row r="193" spans="1:5" x14ac:dyDescent="0.3">
      <c r="A193" t="s">
        <v>5</v>
      </c>
      <c r="B193" t="s">
        <v>36</v>
      </c>
      <c r="C193" t="s">
        <v>13</v>
      </c>
      <c r="D193" s="4">
        <v>6146</v>
      </c>
      <c r="E193" s="5">
        <v>63</v>
      </c>
    </row>
    <row r="194" spans="1:5" x14ac:dyDescent="0.3">
      <c r="A194" t="s">
        <v>9</v>
      </c>
      <c r="B194" t="s">
        <v>39</v>
      </c>
      <c r="C194" t="s">
        <v>18</v>
      </c>
      <c r="D194" s="4">
        <v>2639</v>
      </c>
      <c r="E194" s="5">
        <v>204</v>
      </c>
    </row>
    <row r="195" spans="1:5" x14ac:dyDescent="0.3">
      <c r="A195" t="s">
        <v>8</v>
      </c>
      <c r="B195" t="s">
        <v>37</v>
      </c>
      <c r="C195" t="s">
        <v>22</v>
      </c>
      <c r="D195" s="4">
        <v>1890</v>
      </c>
      <c r="E195" s="5">
        <v>195</v>
      </c>
    </row>
    <row r="196" spans="1:5" x14ac:dyDescent="0.3">
      <c r="A196" t="s">
        <v>7</v>
      </c>
      <c r="B196" t="s">
        <v>34</v>
      </c>
      <c r="C196" t="s">
        <v>14</v>
      </c>
      <c r="D196" s="4">
        <v>1932</v>
      </c>
      <c r="E196" s="5">
        <v>369</v>
      </c>
    </row>
    <row r="197" spans="1:5" x14ac:dyDescent="0.3">
      <c r="A197" t="s">
        <v>3</v>
      </c>
      <c r="B197" t="s">
        <v>34</v>
      </c>
      <c r="C197" t="s">
        <v>25</v>
      </c>
      <c r="D197" s="4">
        <v>6300</v>
      </c>
      <c r="E197" s="5">
        <v>42</v>
      </c>
    </row>
    <row r="198" spans="1:5" x14ac:dyDescent="0.3">
      <c r="A198" t="s">
        <v>6</v>
      </c>
      <c r="B198" t="s">
        <v>37</v>
      </c>
      <c r="C198" t="s">
        <v>30</v>
      </c>
      <c r="D198" s="4">
        <v>560</v>
      </c>
      <c r="E198" s="5">
        <v>81</v>
      </c>
    </row>
    <row r="199" spans="1:5" x14ac:dyDescent="0.3">
      <c r="A199" t="s">
        <v>9</v>
      </c>
      <c r="B199" t="s">
        <v>37</v>
      </c>
      <c r="C199" t="s">
        <v>26</v>
      </c>
      <c r="D199" s="4">
        <v>2856</v>
      </c>
      <c r="E199" s="5">
        <v>246</v>
      </c>
    </row>
    <row r="200" spans="1:5" x14ac:dyDescent="0.3">
      <c r="A200" t="s">
        <v>9</v>
      </c>
      <c r="B200" t="s">
        <v>34</v>
      </c>
      <c r="C200" t="s">
        <v>17</v>
      </c>
      <c r="D200" s="4">
        <v>707</v>
      </c>
      <c r="E200" s="5">
        <v>174</v>
      </c>
    </row>
    <row r="201" spans="1:5" x14ac:dyDescent="0.3">
      <c r="A201" t="s">
        <v>8</v>
      </c>
      <c r="B201" t="s">
        <v>35</v>
      </c>
      <c r="C201" t="s">
        <v>30</v>
      </c>
      <c r="D201" s="4">
        <v>3598</v>
      </c>
      <c r="E201" s="5">
        <v>81</v>
      </c>
    </row>
    <row r="202" spans="1:5" x14ac:dyDescent="0.3">
      <c r="A202" t="s">
        <v>40</v>
      </c>
      <c r="B202" t="s">
        <v>35</v>
      </c>
      <c r="C202" t="s">
        <v>22</v>
      </c>
      <c r="D202" s="4">
        <v>6853</v>
      </c>
      <c r="E202" s="5">
        <v>372</v>
      </c>
    </row>
    <row r="203" spans="1:5" x14ac:dyDescent="0.3">
      <c r="A203" t="s">
        <v>40</v>
      </c>
      <c r="B203" t="s">
        <v>35</v>
      </c>
      <c r="C203" t="s">
        <v>16</v>
      </c>
      <c r="D203" s="4">
        <v>4725</v>
      </c>
      <c r="E203" s="5">
        <v>174</v>
      </c>
    </row>
    <row r="204" spans="1:5" x14ac:dyDescent="0.3">
      <c r="A204" t="s">
        <v>41</v>
      </c>
      <c r="B204" t="s">
        <v>36</v>
      </c>
      <c r="C204" t="s">
        <v>32</v>
      </c>
      <c r="D204" s="4">
        <v>10304</v>
      </c>
      <c r="E204" s="5">
        <v>84</v>
      </c>
    </row>
    <row r="205" spans="1:5" x14ac:dyDescent="0.3">
      <c r="A205" t="s">
        <v>41</v>
      </c>
      <c r="B205" t="s">
        <v>34</v>
      </c>
      <c r="C205" t="s">
        <v>16</v>
      </c>
      <c r="D205" s="4">
        <v>1274</v>
      </c>
      <c r="E205" s="5">
        <v>225</v>
      </c>
    </row>
    <row r="206" spans="1:5" x14ac:dyDescent="0.3">
      <c r="A206" t="s">
        <v>5</v>
      </c>
      <c r="B206" t="s">
        <v>36</v>
      </c>
      <c r="C206" t="s">
        <v>30</v>
      </c>
      <c r="D206" s="4">
        <v>1526</v>
      </c>
      <c r="E206" s="5">
        <v>105</v>
      </c>
    </row>
    <row r="207" spans="1:5" x14ac:dyDescent="0.3">
      <c r="A207" t="s">
        <v>40</v>
      </c>
      <c r="B207" t="s">
        <v>39</v>
      </c>
      <c r="C207" t="s">
        <v>28</v>
      </c>
      <c r="D207" s="4">
        <v>3101</v>
      </c>
      <c r="E207" s="5">
        <v>225</v>
      </c>
    </row>
    <row r="208" spans="1:5" x14ac:dyDescent="0.3">
      <c r="A208" t="s">
        <v>2</v>
      </c>
      <c r="B208" t="s">
        <v>37</v>
      </c>
      <c r="C208" t="s">
        <v>14</v>
      </c>
      <c r="D208" s="4">
        <v>1057</v>
      </c>
      <c r="E208" s="5">
        <v>54</v>
      </c>
    </row>
    <row r="209" spans="1:5" x14ac:dyDescent="0.3">
      <c r="A209" t="s">
        <v>7</v>
      </c>
      <c r="B209" t="s">
        <v>37</v>
      </c>
      <c r="C209" t="s">
        <v>26</v>
      </c>
      <c r="D209" s="4">
        <v>5306</v>
      </c>
      <c r="E209" s="5">
        <v>0</v>
      </c>
    </row>
    <row r="210" spans="1:5" x14ac:dyDescent="0.3">
      <c r="A210" t="s">
        <v>5</v>
      </c>
      <c r="B210" t="s">
        <v>39</v>
      </c>
      <c r="C210" t="s">
        <v>24</v>
      </c>
      <c r="D210" s="4">
        <v>4018</v>
      </c>
      <c r="E210" s="5">
        <v>171</v>
      </c>
    </row>
    <row r="211" spans="1:5" x14ac:dyDescent="0.3">
      <c r="A211" t="s">
        <v>9</v>
      </c>
      <c r="B211" t="s">
        <v>34</v>
      </c>
      <c r="C211" t="s">
        <v>16</v>
      </c>
      <c r="D211" s="4">
        <v>938</v>
      </c>
      <c r="E211" s="5">
        <v>189</v>
      </c>
    </row>
    <row r="212" spans="1:5" x14ac:dyDescent="0.3">
      <c r="A212" t="s">
        <v>7</v>
      </c>
      <c r="B212" t="s">
        <v>38</v>
      </c>
      <c r="C212" t="s">
        <v>18</v>
      </c>
      <c r="D212" s="4">
        <v>1778</v>
      </c>
      <c r="E212" s="5">
        <v>270</v>
      </c>
    </row>
    <row r="213" spans="1:5" x14ac:dyDescent="0.3">
      <c r="A213" t="s">
        <v>6</v>
      </c>
      <c r="B213" t="s">
        <v>39</v>
      </c>
      <c r="C213" t="s">
        <v>30</v>
      </c>
      <c r="D213" s="4">
        <v>1638</v>
      </c>
      <c r="E213" s="5">
        <v>63</v>
      </c>
    </row>
    <row r="214" spans="1:5" x14ac:dyDescent="0.3">
      <c r="A214" t="s">
        <v>41</v>
      </c>
      <c r="B214" t="s">
        <v>38</v>
      </c>
      <c r="C214" t="s">
        <v>25</v>
      </c>
      <c r="D214" s="4">
        <v>154</v>
      </c>
      <c r="E214" s="5">
        <v>21</v>
      </c>
    </row>
    <row r="215" spans="1:5" x14ac:dyDescent="0.3">
      <c r="A215" t="s">
        <v>7</v>
      </c>
      <c r="B215" t="s">
        <v>37</v>
      </c>
      <c r="C215" t="s">
        <v>22</v>
      </c>
      <c r="D215" s="4">
        <v>9835</v>
      </c>
      <c r="E215" s="5">
        <v>207</v>
      </c>
    </row>
    <row r="216" spans="1:5" x14ac:dyDescent="0.3">
      <c r="A216" t="s">
        <v>9</v>
      </c>
      <c r="B216" t="s">
        <v>37</v>
      </c>
      <c r="C216" t="s">
        <v>20</v>
      </c>
      <c r="D216" s="4">
        <v>7273</v>
      </c>
      <c r="E216" s="5">
        <v>96</v>
      </c>
    </row>
    <row r="217" spans="1:5" x14ac:dyDescent="0.3">
      <c r="A217" t="s">
        <v>5</v>
      </c>
      <c r="B217" t="s">
        <v>39</v>
      </c>
      <c r="C217" t="s">
        <v>22</v>
      </c>
      <c r="D217" s="4">
        <v>6909</v>
      </c>
      <c r="E217" s="5">
        <v>81</v>
      </c>
    </row>
    <row r="218" spans="1:5" x14ac:dyDescent="0.3">
      <c r="A218" t="s">
        <v>9</v>
      </c>
      <c r="B218" t="s">
        <v>39</v>
      </c>
      <c r="C218" t="s">
        <v>24</v>
      </c>
      <c r="D218" s="4">
        <v>3920</v>
      </c>
      <c r="E218" s="5">
        <v>306</v>
      </c>
    </row>
    <row r="219" spans="1:5" x14ac:dyDescent="0.3">
      <c r="A219" t="s">
        <v>10</v>
      </c>
      <c r="B219" t="s">
        <v>39</v>
      </c>
      <c r="C219" t="s">
        <v>21</v>
      </c>
      <c r="D219" s="4">
        <v>4858</v>
      </c>
      <c r="E219" s="5">
        <v>279</v>
      </c>
    </row>
    <row r="220" spans="1:5" x14ac:dyDescent="0.3">
      <c r="A220" t="s">
        <v>2</v>
      </c>
      <c r="B220" t="s">
        <v>38</v>
      </c>
      <c r="C220" t="s">
        <v>4</v>
      </c>
      <c r="D220" s="4">
        <v>3549</v>
      </c>
      <c r="E220" s="5">
        <v>3</v>
      </c>
    </row>
    <row r="221" spans="1:5" x14ac:dyDescent="0.3">
      <c r="A221" t="s">
        <v>7</v>
      </c>
      <c r="B221" t="s">
        <v>39</v>
      </c>
      <c r="C221" t="s">
        <v>27</v>
      </c>
      <c r="D221" s="4">
        <v>966</v>
      </c>
      <c r="E221" s="5">
        <v>198</v>
      </c>
    </row>
    <row r="222" spans="1:5" x14ac:dyDescent="0.3">
      <c r="A222" t="s">
        <v>5</v>
      </c>
      <c r="B222" t="s">
        <v>39</v>
      </c>
      <c r="C222" t="s">
        <v>18</v>
      </c>
      <c r="D222" s="4">
        <v>385</v>
      </c>
      <c r="E222" s="5">
        <v>249</v>
      </c>
    </row>
    <row r="223" spans="1:5" x14ac:dyDescent="0.3">
      <c r="A223" t="s">
        <v>6</v>
      </c>
      <c r="B223" t="s">
        <v>34</v>
      </c>
      <c r="C223" t="s">
        <v>16</v>
      </c>
      <c r="D223" s="4">
        <v>2219</v>
      </c>
      <c r="E223" s="5">
        <v>75</v>
      </c>
    </row>
    <row r="224" spans="1:5" x14ac:dyDescent="0.3">
      <c r="A224" t="s">
        <v>9</v>
      </c>
      <c r="B224" t="s">
        <v>36</v>
      </c>
      <c r="C224" t="s">
        <v>32</v>
      </c>
      <c r="D224" s="4">
        <v>2954</v>
      </c>
      <c r="E224" s="5">
        <v>189</v>
      </c>
    </row>
    <row r="225" spans="1:5" x14ac:dyDescent="0.3">
      <c r="A225" t="s">
        <v>7</v>
      </c>
      <c r="B225" t="s">
        <v>36</v>
      </c>
      <c r="C225" t="s">
        <v>32</v>
      </c>
      <c r="D225" s="4">
        <v>280</v>
      </c>
      <c r="E225" s="5">
        <v>87</v>
      </c>
    </row>
    <row r="226" spans="1:5" x14ac:dyDescent="0.3">
      <c r="A226" t="s">
        <v>41</v>
      </c>
      <c r="B226" t="s">
        <v>36</v>
      </c>
      <c r="C226" t="s">
        <v>30</v>
      </c>
      <c r="D226" s="4">
        <v>6118</v>
      </c>
      <c r="E226" s="5">
        <v>174</v>
      </c>
    </row>
    <row r="227" spans="1:5" x14ac:dyDescent="0.3">
      <c r="A227" t="s">
        <v>2</v>
      </c>
      <c r="B227" t="s">
        <v>39</v>
      </c>
      <c r="C227" t="s">
        <v>15</v>
      </c>
      <c r="D227" s="4">
        <v>4802</v>
      </c>
      <c r="E227" s="5">
        <v>36</v>
      </c>
    </row>
    <row r="228" spans="1:5" x14ac:dyDescent="0.3">
      <c r="A228" t="s">
        <v>9</v>
      </c>
      <c r="B228" t="s">
        <v>38</v>
      </c>
      <c r="C228" t="s">
        <v>24</v>
      </c>
      <c r="D228" s="4">
        <v>4137</v>
      </c>
      <c r="E228" s="5">
        <v>60</v>
      </c>
    </row>
    <row r="229" spans="1:5" x14ac:dyDescent="0.3">
      <c r="A229" t="s">
        <v>3</v>
      </c>
      <c r="B229" t="s">
        <v>35</v>
      </c>
      <c r="C229" t="s">
        <v>23</v>
      </c>
      <c r="D229" s="4">
        <v>2023</v>
      </c>
      <c r="E229" s="5">
        <v>78</v>
      </c>
    </row>
    <row r="230" spans="1:5" x14ac:dyDescent="0.3">
      <c r="A230" t="s">
        <v>9</v>
      </c>
      <c r="B230" t="s">
        <v>36</v>
      </c>
      <c r="C230" t="s">
        <v>30</v>
      </c>
      <c r="D230" s="4">
        <v>9051</v>
      </c>
      <c r="E230" s="5">
        <v>57</v>
      </c>
    </row>
    <row r="231" spans="1:5" x14ac:dyDescent="0.3">
      <c r="A231" t="s">
        <v>9</v>
      </c>
      <c r="B231" t="s">
        <v>37</v>
      </c>
      <c r="C231" t="s">
        <v>28</v>
      </c>
      <c r="D231" s="4">
        <v>2919</v>
      </c>
      <c r="E231" s="5">
        <v>45</v>
      </c>
    </row>
    <row r="232" spans="1:5" x14ac:dyDescent="0.3">
      <c r="A232" t="s">
        <v>41</v>
      </c>
      <c r="B232" t="s">
        <v>38</v>
      </c>
      <c r="C232" t="s">
        <v>22</v>
      </c>
      <c r="D232" s="4">
        <v>5915</v>
      </c>
      <c r="E232" s="5">
        <v>3</v>
      </c>
    </row>
    <row r="233" spans="1:5" x14ac:dyDescent="0.3">
      <c r="A233" t="s">
        <v>10</v>
      </c>
      <c r="B233" t="s">
        <v>35</v>
      </c>
      <c r="C233" t="s">
        <v>15</v>
      </c>
      <c r="D233" s="4">
        <v>2562</v>
      </c>
      <c r="E233" s="5">
        <v>6</v>
      </c>
    </row>
    <row r="234" spans="1:5" x14ac:dyDescent="0.3">
      <c r="A234" t="s">
        <v>5</v>
      </c>
      <c r="B234" t="s">
        <v>37</v>
      </c>
      <c r="C234" t="s">
        <v>25</v>
      </c>
      <c r="D234" s="4">
        <v>8813</v>
      </c>
      <c r="E234" s="5">
        <v>21</v>
      </c>
    </row>
    <row r="235" spans="1:5" x14ac:dyDescent="0.3">
      <c r="A235" t="s">
        <v>5</v>
      </c>
      <c r="B235" t="s">
        <v>36</v>
      </c>
      <c r="C235" t="s">
        <v>18</v>
      </c>
      <c r="D235" s="4">
        <v>6111</v>
      </c>
      <c r="E235" s="5">
        <v>3</v>
      </c>
    </row>
    <row r="236" spans="1:5" x14ac:dyDescent="0.3">
      <c r="A236" t="s">
        <v>8</v>
      </c>
      <c r="B236" t="s">
        <v>34</v>
      </c>
      <c r="C236" t="s">
        <v>31</v>
      </c>
      <c r="D236" s="4">
        <v>3507</v>
      </c>
      <c r="E236" s="5">
        <v>288</v>
      </c>
    </row>
    <row r="237" spans="1:5" x14ac:dyDescent="0.3">
      <c r="A237" t="s">
        <v>6</v>
      </c>
      <c r="B237" t="s">
        <v>36</v>
      </c>
      <c r="C237" t="s">
        <v>13</v>
      </c>
      <c r="D237" s="4">
        <v>4319</v>
      </c>
      <c r="E237" s="5">
        <v>30</v>
      </c>
    </row>
    <row r="238" spans="1:5" x14ac:dyDescent="0.3">
      <c r="A238" t="s">
        <v>40</v>
      </c>
      <c r="B238" t="s">
        <v>38</v>
      </c>
      <c r="C238" t="s">
        <v>26</v>
      </c>
      <c r="D238" s="4">
        <v>609</v>
      </c>
      <c r="E238" s="5">
        <v>87</v>
      </c>
    </row>
    <row r="239" spans="1:5" x14ac:dyDescent="0.3">
      <c r="A239" t="s">
        <v>40</v>
      </c>
      <c r="B239" t="s">
        <v>39</v>
      </c>
      <c r="C239" t="s">
        <v>27</v>
      </c>
      <c r="D239" s="4">
        <v>6370</v>
      </c>
      <c r="E239" s="5">
        <v>30</v>
      </c>
    </row>
    <row r="240" spans="1:5" x14ac:dyDescent="0.3">
      <c r="A240" t="s">
        <v>5</v>
      </c>
      <c r="B240" t="s">
        <v>38</v>
      </c>
      <c r="C240" t="s">
        <v>19</v>
      </c>
      <c r="D240" s="4">
        <v>5474</v>
      </c>
      <c r="E240" s="5">
        <v>168</v>
      </c>
    </row>
    <row r="241" spans="1:5" x14ac:dyDescent="0.3">
      <c r="A241" t="s">
        <v>40</v>
      </c>
      <c r="B241" t="s">
        <v>36</v>
      </c>
      <c r="C241" t="s">
        <v>27</v>
      </c>
      <c r="D241" s="4">
        <v>3164</v>
      </c>
      <c r="E241" s="5">
        <v>306</v>
      </c>
    </row>
    <row r="242" spans="1:5" x14ac:dyDescent="0.3">
      <c r="A242" t="s">
        <v>6</v>
      </c>
      <c r="B242" t="s">
        <v>35</v>
      </c>
      <c r="C242" t="s">
        <v>4</v>
      </c>
      <c r="D242" s="4">
        <v>1302</v>
      </c>
      <c r="E242" s="5">
        <v>402</v>
      </c>
    </row>
    <row r="243" spans="1:5" x14ac:dyDescent="0.3">
      <c r="A243" t="s">
        <v>3</v>
      </c>
      <c r="B243" t="s">
        <v>37</v>
      </c>
      <c r="C243" t="s">
        <v>28</v>
      </c>
      <c r="D243" s="4">
        <v>7308</v>
      </c>
      <c r="E243" s="5">
        <v>327</v>
      </c>
    </row>
    <row r="244" spans="1:5" x14ac:dyDescent="0.3">
      <c r="A244" t="s">
        <v>40</v>
      </c>
      <c r="B244" t="s">
        <v>37</v>
      </c>
      <c r="C244" t="s">
        <v>27</v>
      </c>
      <c r="D244" s="4">
        <v>6132</v>
      </c>
      <c r="E244" s="5">
        <v>93</v>
      </c>
    </row>
    <row r="245" spans="1:5" x14ac:dyDescent="0.3">
      <c r="A245" t="s">
        <v>10</v>
      </c>
      <c r="B245" t="s">
        <v>35</v>
      </c>
      <c r="C245" t="s">
        <v>14</v>
      </c>
      <c r="D245" s="4">
        <v>3472</v>
      </c>
      <c r="E245" s="5">
        <v>96</v>
      </c>
    </row>
    <row r="246" spans="1:5" x14ac:dyDescent="0.3">
      <c r="A246" t="s">
        <v>8</v>
      </c>
      <c r="B246" t="s">
        <v>39</v>
      </c>
      <c r="C246" t="s">
        <v>18</v>
      </c>
      <c r="D246" s="4">
        <v>9660</v>
      </c>
      <c r="E246" s="5">
        <v>27</v>
      </c>
    </row>
    <row r="247" spans="1:5" x14ac:dyDescent="0.3">
      <c r="A247" t="s">
        <v>9</v>
      </c>
      <c r="B247" t="s">
        <v>38</v>
      </c>
      <c r="C247" t="s">
        <v>26</v>
      </c>
      <c r="D247" s="4">
        <v>2436</v>
      </c>
      <c r="E247" s="5">
        <v>99</v>
      </c>
    </row>
    <row r="248" spans="1:5" x14ac:dyDescent="0.3">
      <c r="A248" t="s">
        <v>9</v>
      </c>
      <c r="B248" t="s">
        <v>38</v>
      </c>
      <c r="C248" t="s">
        <v>33</v>
      </c>
      <c r="D248" s="4">
        <v>9506</v>
      </c>
      <c r="E248" s="5">
        <v>87</v>
      </c>
    </row>
    <row r="249" spans="1:5" x14ac:dyDescent="0.3">
      <c r="A249" t="s">
        <v>10</v>
      </c>
      <c r="B249" t="s">
        <v>37</v>
      </c>
      <c r="C249" t="s">
        <v>21</v>
      </c>
      <c r="D249" s="4">
        <v>245</v>
      </c>
      <c r="E249" s="5">
        <v>288</v>
      </c>
    </row>
    <row r="250" spans="1:5" x14ac:dyDescent="0.3">
      <c r="A250" t="s">
        <v>8</v>
      </c>
      <c r="B250" t="s">
        <v>35</v>
      </c>
      <c r="C250" t="s">
        <v>20</v>
      </c>
      <c r="D250" s="4">
        <v>2702</v>
      </c>
      <c r="E250" s="5">
        <v>363</v>
      </c>
    </row>
    <row r="251" spans="1:5" x14ac:dyDescent="0.3">
      <c r="A251" t="s">
        <v>10</v>
      </c>
      <c r="B251" t="s">
        <v>34</v>
      </c>
      <c r="C251" t="s">
        <v>17</v>
      </c>
      <c r="D251" s="4">
        <v>700</v>
      </c>
      <c r="E251" s="5">
        <v>87</v>
      </c>
    </row>
    <row r="252" spans="1:5" x14ac:dyDescent="0.3">
      <c r="A252" t="s">
        <v>6</v>
      </c>
      <c r="B252" t="s">
        <v>34</v>
      </c>
      <c r="C252" t="s">
        <v>17</v>
      </c>
      <c r="D252" s="4">
        <v>3759</v>
      </c>
      <c r="E252" s="5">
        <v>150</v>
      </c>
    </row>
    <row r="253" spans="1:5" x14ac:dyDescent="0.3">
      <c r="A253" t="s">
        <v>2</v>
      </c>
      <c r="B253" t="s">
        <v>35</v>
      </c>
      <c r="C253" t="s">
        <v>17</v>
      </c>
      <c r="D253" s="4">
        <v>1589</v>
      </c>
      <c r="E253" s="5">
        <v>303</v>
      </c>
    </row>
    <row r="254" spans="1:5" x14ac:dyDescent="0.3">
      <c r="A254" t="s">
        <v>7</v>
      </c>
      <c r="B254" t="s">
        <v>35</v>
      </c>
      <c r="C254" t="s">
        <v>28</v>
      </c>
      <c r="D254" s="4">
        <v>5194</v>
      </c>
      <c r="E254" s="5">
        <v>288</v>
      </c>
    </row>
    <row r="255" spans="1:5" x14ac:dyDescent="0.3">
      <c r="A255" t="s">
        <v>10</v>
      </c>
      <c r="B255" t="s">
        <v>36</v>
      </c>
      <c r="C255" t="s">
        <v>13</v>
      </c>
      <c r="D255" s="4">
        <v>945</v>
      </c>
      <c r="E255" s="5">
        <v>75</v>
      </c>
    </row>
    <row r="256" spans="1:5" x14ac:dyDescent="0.3">
      <c r="A256" t="s">
        <v>40</v>
      </c>
      <c r="B256" t="s">
        <v>38</v>
      </c>
      <c r="C256" t="s">
        <v>31</v>
      </c>
      <c r="D256" s="4">
        <v>1988</v>
      </c>
      <c r="E256" s="5">
        <v>39</v>
      </c>
    </row>
    <row r="257" spans="1:5" x14ac:dyDescent="0.3">
      <c r="A257" t="s">
        <v>6</v>
      </c>
      <c r="B257" t="s">
        <v>34</v>
      </c>
      <c r="C257" t="s">
        <v>32</v>
      </c>
      <c r="D257" s="4">
        <v>6734</v>
      </c>
      <c r="E257" s="5">
        <v>123</v>
      </c>
    </row>
    <row r="258" spans="1:5" x14ac:dyDescent="0.3">
      <c r="A258" t="s">
        <v>40</v>
      </c>
      <c r="B258" t="s">
        <v>36</v>
      </c>
      <c r="C258" t="s">
        <v>4</v>
      </c>
      <c r="D258" s="4">
        <v>217</v>
      </c>
      <c r="E258" s="5">
        <v>36</v>
      </c>
    </row>
    <row r="259" spans="1:5" x14ac:dyDescent="0.3">
      <c r="A259" t="s">
        <v>5</v>
      </c>
      <c r="B259" t="s">
        <v>34</v>
      </c>
      <c r="C259" t="s">
        <v>22</v>
      </c>
      <c r="D259" s="4">
        <v>6279</v>
      </c>
      <c r="E259" s="5">
        <v>237</v>
      </c>
    </row>
    <row r="260" spans="1:5" x14ac:dyDescent="0.3">
      <c r="A260" t="s">
        <v>40</v>
      </c>
      <c r="B260" t="s">
        <v>36</v>
      </c>
      <c r="C260" t="s">
        <v>13</v>
      </c>
      <c r="D260" s="4">
        <v>4424</v>
      </c>
      <c r="E260" s="5">
        <v>201</v>
      </c>
    </row>
    <row r="261" spans="1:5" x14ac:dyDescent="0.3">
      <c r="A261" t="s">
        <v>2</v>
      </c>
      <c r="B261" t="s">
        <v>36</v>
      </c>
      <c r="C261" t="s">
        <v>17</v>
      </c>
      <c r="D261" s="4">
        <v>189</v>
      </c>
      <c r="E261" s="5">
        <v>48</v>
      </c>
    </row>
    <row r="262" spans="1:5" x14ac:dyDescent="0.3">
      <c r="A262" t="s">
        <v>5</v>
      </c>
      <c r="B262" t="s">
        <v>35</v>
      </c>
      <c r="C262" t="s">
        <v>22</v>
      </c>
      <c r="D262" s="4">
        <v>490</v>
      </c>
      <c r="E262" s="5">
        <v>84</v>
      </c>
    </row>
    <row r="263" spans="1:5" x14ac:dyDescent="0.3">
      <c r="A263" t="s">
        <v>8</v>
      </c>
      <c r="B263" t="s">
        <v>37</v>
      </c>
      <c r="C263" t="s">
        <v>21</v>
      </c>
      <c r="D263" s="4">
        <v>434</v>
      </c>
      <c r="E263" s="5">
        <v>87</v>
      </c>
    </row>
    <row r="264" spans="1:5" x14ac:dyDescent="0.3">
      <c r="A264" t="s">
        <v>7</v>
      </c>
      <c r="B264" t="s">
        <v>38</v>
      </c>
      <c r="C264" t="s">
        <v>30</v>
      </c>
      <c r="D264" s="4">
        <v>10129</v>
      </c>
      <c r="E264" s="5">
        <v>312</v>
      </c>
    </row>
    <row r="265" spans="1:5" x14ac:dyDescent="0.3">
      <c r="A265" t="s">
        <v>3</v>
      </c>
      <c r="B265" t="s">
        <v>39</v>
      </c>
      <c r="C265" t="s">
        <v>28</v>
      </c>
      <c r="D265" s="4">
        <v>1652</v>
      </c>
      <c r="E265" s="5">
        <v>102</v>
      </c>
    </row>
    <row r="266" spans="1:5" x14ac:dyDescent="0.3">
      <c r="A266" t="s">
        <v>8</v>
      </c>
      <c r="B266" t="s">
        <v>38</v>
      </c>
      <c r="C266" t="s">
        <v>21</v>
      </c>
      <c r="D266" s="4">
        <v>6433</v>
      </c>
      <c r="E266" s="5">
        <v>78</v>
      </c>
    </row>
    <row r="267" spans="1:5" x14ac:dyDescent="0.3">
      <c r="A267" t="s">
        <v>3</v>
      </c>
      <c r="B267" t="s">
        <v>34</v>
      </c>
      <c r="C267" t="s">
        <v>23</v>
      </c>
      <c r="D267" s="4">
        <v>2212</v>
      </c>
      <c r="E267" s="5">
        <v>117</v>
      </c>
    </row>
    <row r="268" spans="1:5" x14ac:dyDescent="0.3">
      <c r="A268" t="s">
        <v>41</v>
      </c>
      <c r="B268" t="s">
        <v>35</v>
      </c>
      <c r="C268" t="s">
        <v>19</v>
      </c>
      <c r="D268" s="4">
        <v>609</v>
      </c>
      <c r="E268" s="5">
        <v>99</v>
      </c>
    </row>
    <row r="269" spans="1:5" x14ac:dyDescent="0.3">
      <c r="A269" t="s">
        <v>40</v>
      </c>
      <c r="B269" t="s">
        <v>35</v>
      </c>
      <c r="C269" t="s">
        <v>24</v>
      </c>
      <c r="D269" s="4">
        <v>1638</v>
      </c>
      <c r="E269" s="5">
        <v>48</v>
      </c>
    </row>
    <row r="270" spans="1:5" x14ac:dyDescent="0.3">
      <c r="A270" t="s">
        <v>7</v>
      </c>
      <c r="B270" t="s">
        <v>34</v>
      </c>
      <c r="C270" t="s">
        <v>15</v>
      </c>
      <c r="D270" s="4">
        <v>3829</v>
      </c>
      <c r="E270" s="5">
        <v>24</v>
      </c>
    </row>
    <row r="271" spans="1:5" x14ac:dyDescent="0.3">
      <c r="A271" t="s">
        <v>40</v>
      </c>
      <c r="B271" t="s">
        <v>39</v>
      </c>
      <c r="C271" t="s">
        <v>15</v>
      </c>
      <c r="D271" s="4">
        <v>5775</v>
      </c>
      <c r="E271" s="5">
        <v>42</v>
      </c>
    </row>
    <row r="272" spans="1:5" x14ac:dyDescent="0.3">
      <c r="A272" t="s">
        <v>6</v>
      </c>
      <c r="B272" t="s">
        <v>35</v>
      </c>
      <c r="C272" t="s">
        <v>20</v>
      </c>
      <c r="D272" s="4">
        <v>1071</v>
      </c>
      <c r="E272" s="5">
        <v>270</v>
      </c>
    </row>
    <row r="273" spans="1:5" x14ac:dyDescent="0.3">
      <c r="A273" t="s">
        <v>8</v>
      </c>
      <c r="B273" t="s">
        <v>36</v>
      </c>
      <c r="C273" t="s">
        <v>23</v>
      </c>
      <c r="D273" s="4">
        <v>5019</v>
      </c>
      <c r="E273" s="5">
        <v>150</v>
      </c>
    </row>
    <row r="274" spans="1:5" x14ac:dyDescent="0.3">
      <c r="A274" t="s">
        <v>2</v>
      </c>
      <c r="B274" t="s">
        <v>37</v>
      </c>
      <c r="C274" t="s">
        <v>15</v>
      </c>
      <c r="D274" s="4">
        <v>2863</v>
      </c>
      <c r="E274" s="5">
        <v>42</v>
      </c>
    </row>
    <row r="275" spans="1:5" x14ac:dyDescent="0.3">
      <c r="A275" t="s">
        <v>40</v>
      </c>
      <c r="B275" t="s">
        <v>35</v>
      </c>
      <c r="C275" t="s">
        <v>29</v>
      </c>
      <c r="D275" s="4">
        <v>1617</v>
      </c>
      <c r="E275" s="5">
        <v>126</v>
      </c>
    </row>
    <row r="276" spans="1:5" x14ac:dyDescent="0.3">
      <c r="A276" t="s">
        <v>6</v>
      </c>
      <c r="B276" t="s">
        <v>37</v>
      </c>
      <c r="C276" t="s">
        <v>26</v>
      </c>
      <c r="D276" s="4">
        <v>6818</v>
      </c>
      <c r="E276" s="5">
        <v>6</v>
      </c>
    </row>
    <row r="277" spans="1:5" x14ac:dyDescent="0.3">
      <c r="A277" t="s">
        <v>3</v>
      </c>
      <c r="B277" t="s">
        <v>35</v>
      </c>
      <c r="C277" t="s">
        <v>15</v>
      </c>
      <c r="D277" s="4">
        <v>6657</v>
      </c>
      <c r="E277" s="5">
        <v>276</v>
      </c>
    </row>
    <row r="278" spans="1:5" x14ac:dyDescent="0.3">
      <c r="A278" t="s">
        <v>3</v>
      </c>
      <c r="B278" t="s">
        <v>34</v>
      </c>
      <c r="C278" t="s">
        <v>17</v>
      </c>
      <c r="D278" s="4">
        <v>2919</v>
      </c>
      <c r="E278" s="5">
        <v>93</v>
      </c>
    </row>
    <row r="279" spans="1:5" x14ac:dyDescent="0.3">
      <c r="A279" t="s">
        <v>2</v>
      </c>
      <c r="B279" t="s">
        <v>36</v>
      </c>
      <c r="C279" t="s">
        <v>31</v>
      </c>
      <c r="D279" s="4">
        <v>3094</v>
      </c>
      <c r="E279" s="5">
        <v>246</v>
      </c>
    </row>
    <row r="280" spans="1:5" x14ac:dyDescent="0.3">
      <c r="A280" t="s">
        <v>6</v>
      </c>
      <c r="B280" t="s">
        <v>39</v>
      </c>
      <c r="C280" t="s">
        <v>24</v>
      </c>
      <c r="D280" s="4">
        <v>2989</v>
      </c>
      <c r="E280" s="5">
        <v>3</v>
      </c>
    </row>
    <row r="281" spans="1:5" x14ac:dyDescent="0.3">
      <c r="A281" t="s">
        <v>8</v>
      </c>
      <c r="B281" t="s">
        <v>38</v>
      </c>
      <c r="C281" t="s">
        <v>27</v>
      </c>
      <c r="D281" s="4">
        <v>2268</v>
      </c>
      <c r="E281" s="5">
        <v>63</v>
      </c>
    </row>
    <row r="282" spans="1:5" x14ac:dyDescent="0.3">
      <c r="A282" t="s">
        <v>5</v>
      </c>
      <c r="B282" t="s">
        <v>35</v>
      </c>
      <c r="C282" t="s">
        <v>31</v>
      </c>
      <c r="D282" s="4">
        <v>4753</v>
      </c>
      <c r="E282" s="5">
        <v>246</v>
      </c>
    </row>
    <row r="283" spans="1:5" x14ac:dyDescent="0.3">
      <c r="A283" t="s">
        <v>2</v>
      </c>
      <c r="B283" t="s">
        <v>34</v>
      </c>
      <c r="C283" t="s">
        <v>19</v>
      </c>
      <c r="D283" s="4">
        <v>7511</v>
      </c>
      <c r="E283" s="5">
        <v>120</v>
      </c>
    </row>
    <row r="284" spans="1:5" x14ac:dyDescent="0.3">
      <c r="A284" t="s">
        <v>2</v>
      </c>
      <c r="B284" t="s">
        <v>38</v>
      </c>
      <c r="C284" t="s">
        <v>31</v>
      </c>
      <c r="D284" s="4">
        <v>4326</v>
      </c>
      <c r="E284" s="5">
        <v>348</v>
      </c>
    </row>
    <row r="285" spans="1:5" x14ac:dyDescent="0.3">
      <c r="A285" t="s">
        <v>41</v>
      </c>
      <c r="B285" t="s">
        <v>34</v>
      </c>
      <c r="C285" t="s">
        <v>23</v>
      </c>
      <c r="D285" s="4">
        <v>4935</v>
      </c>
      <c r="E285" s="5">
        <v>126</v>
      </c>
    </row>
    <row r="286" spans="1:5" x14ac:dyDescent="0.3">
      <c r="A286" t="s">
        <v>6</v>
      </c>
      <c r="B286" t="s">
        <v>35</v>
      </c>
      <c r="C286" t="s">
        <v>30</v>
      </c>
      <c r="D286" s="4">
        <v>4781</v>
      </c>
      <c r="E286" s="5">
        <v>123</v>
      </c>
    </row>
    <row r="287" spans="1:5" x14ac:dyDescent="0.3">
      <c r="A287" t="s">
        <v>5</v>
      </c>
      <c r="B287" t="s">
        <v>38</v>
      </c>
      <c r="C287" t="s">
        <v>25</v>
      </c>
      <c r="D287" s="4">
        <v>7483</v>
      </c>
      <c r="E287" s="5">
        <v>45</v>
      </c>
    </row>
    <row r="288" spans="1:5" x14ac:dyDescent="0.3">
      <c r="A288" t="s">
        <v>10</v>
      </c>
      <c r="B288" t="s">
        <v>38</v>
      </c>
      <c r="C288" t="s">
        <v>4</v>
      </c>
      <c r="D288" s="4">
        <v>6860</v>
      </c>
      <c r="E288" s="5">
        <v>126</v>
      </c>
    </row>
    <row r="289" spans="1:5" x14ac:dyDescent="0.3">
      <c r="A289" t="s">
        <v>40</v>
      </c>
      <c r="B289" t="s">
        <v>37</v>
      </c>
      <c r="C289" t="s">
        <v>29</v>
      </c>
      <c r="D289" s="4">
        <v>9002</v>
      </c>
      <c r="E289" s="5">
        <v>72</v>
      </c>
    </row>
    <row r="290" spans="1:5" x14ac:dyDescent="0.3">
      <c r="A290" t="s">
        <v>6</v>
      </c>
      <c r="B290" t="s">
        <v>36</v>
      </c>
      <c r="C290" t="s">
        <v>29</v>
      </c>
      <c r="D290" s="4">
        <v>1400</v>
      </c>
      <c r="E290" s="5">
        <v>135</v>
      </c>
    </row>
    <row r="291" spans="1:5" x14ac:dyDescent="0.3">
      <c r="A291" t="s">
        <v>10</v>
      </c>
      <c r="B291" t="s">
        <v>34</v>
      </c>
      <c r="C291" t="s">
        <v>22</v>
      </c>
      <c r="D291" s="4">
        <v>4053</v>
      </c>
      <c r="E291" s="5">
        <v>24</v>
      </c>
    </row>
    <row r="292" spans="1:5" x14ac:dyDescent="0.3">
      <c r="A292" t="s">
        <v>7</v>
      </c>
      <c r="B292" t="s">
        <v>36</v>
      </c>
      <c r="C292" t="s">
        <v>31</v>
      </c>
      <c r="D292" s="4">
        <v>2149</v>
      </c>
      <c r="E292" s="5">
        <v>117</v>
      </c>
    </row>
    <row r="293" spans="1:5" x14ac:dyDescent="0.3">
      <c r="A293" t="s">
        <v>3</v>
      </c>
      <c r="B293" t="s">
        <v>39</v>
      </c>
      <c r="C293" t="s">
        <v>29</v>
      </c>
      <c r="D293" s="4">
        <v>3640</v>
      </c>
      <c r="E293" s="5">
        <v>51</v>
      </c>
    </row>
    <row r="294" spans="1:5" x14ac:dyDescent="0.3">
      <c r="A294" t="s">
        <v>2</v>
      </c>
      <c r="B294" t="s">
        <v>39</v>
      </c>
      <c r="C294" t="s">
        <v>23</v>
      </c>
      <c r="D294" s="4">
        <v>630</v>
      </c>
      <c r="E294" s="5">
        <v>36</v>
      </c>
    </row>
    <row r="295" spans="1:5" x14ac:dyDescent="0.3">
      <c r="A295" t="s">
        <v>9</v>
      </c>
      <c r="B295" t="s">
        <v>35</v>
      </c>
      <c r="C295" t="s">
        <v>27</v>
      </c>
      <c r="D295" s="4">
        <v>2429</v>
      </c>
      <c r="E295" s="5">
        <v>144</v>
      </c>
    </row>
    <row r="296" spans="1:5" x14ac:dyDescent="0.3">
      <c r="A296" t="s">
        <v>9</v>
      </c>
      <c r="B296" t="s">
        <v>36</v>
      </c>
      <c r="C296" t="s">
        <v>25</v>
      </c>
      <c r="D296" s="4">
        <v>2142</v>
      </c>
      <c r="E296" s="5">
        <v>114</v>
      </c>
    </row>
    <row r="297" spans="1:5" x14ac:dyDescent="0.3">
      <c r="A297" t="s">
        <v>7</v>
      </c>
      <c r="B297" t="s">
        <v>37</v>
      </c>
      <c r="C297" t="s">
        <v>30</v>
      </c>
      <c r="D297" s="4">
        <v>6454</v>
      </c>
      <c r="E297" s="5">
        <v>54</v>
      </c>
    </row>
    <row r="298" spans="1:5" x14ac:dyDescent="0.3">
      <c r="A298" t="s">
        <v>7</v>
      </c>
      <c r="B298" t="s">
        <v>37</v>
      </c>
      <c r="C298" t="s">
        <v>16</v>
      </c>
      <c r="D298" s="4">
        <v>4487</v>
      </c>
      <c r="E298" s="5">
        <v>333</v>
      </c>
    </row>
    <row r="299" spans="1:5" x14ac:dyDescent="0.3">
      <c r="A299" t="s">
        <v>3</v>
      </c>
      <c r="B299" t="s">
        <v>37</v>
      </c>
      <c r="C299" t="s">
        <v>4</v>
      </c>
      <c r="D299" s="4">
        <v>938</v>
      </c>
      <c r="E299" s="5">
        <v>366</v>
      </c>
    </row>
    <row r="300" spans="1:5" x14ac:dyDescent="0.3">
      <c r="A300" t="s">
        <v>3</v>
      </c>
      <c r="B300" t="s">
        <v>38</v>
      </c>
      <c r="C300" t="s">
        <v>26</v>
      </c>
      <c r="D300" s="4">
        <v>8841</v>
      </c>
      <c r="E300" s="5">
        <v>303</v>
      </c>
    </row>
    <row r="301" spans="1:5" x14ac:dyDescent="0.3">
      <c r="A301" t="s">
        <v>2</v>
      </c>
      <c r="B301" t="s">
        <v>39</v>
      </c>
      <c r="C301" t="s">
        <v>33</v>
      </c>
      <c r="D301" s="4">
        <v>4018</v>
      </c>
      <c r="E301" s="5">
        <v>126</v>
      </c>
    </row>
    <row r="302" spans="1:5" x14ac:dyDescent="0.3">
      <c r="A302" t="s">
        <v>41</v>
      </c>
      <c r="B302" t="s">
        <v>37</v>
      </c>
      <c r="C302" t="s">
        <v>15</v>
      </c>
      <c r="D302" s="4">
        <v>714</v>
      </c>
      <c r="E302" s="5">
        <v>231</v>
      </c>
    </row>
    <row r="303" spans="1:5" x14ac:dyDescent="0.3">
      <c r="A303" t="s">
        <v>9</v>
      </c>
      <c r="B303" t="s">
        <v>38</v>
      </c>
      <c r="C303" t="s">
        <v>25</v>
      </c>
      <c r="D303" s="4">
        <v>3850</v>
      </c>
      <c r="E303" s="5">
        <v>102</v>
      </c>
    </row>
  </sheetData>
  <mergeCells count="1">
    <mergeCell ref="A1:E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1245-1A3D-48A3-BC76-B16FEE863930}">
  <dimension ref="A1:E8"/>
  <sheetViews>
    <sheetView zoomScale="190" zoomScaleNormal="190" workbookViewId="0">
      <selection activeCell="G5" sqref="G5"/>
    </sheetView>
  </sheetViews>
  <sheetFormatPr defaultRowHeight="14.4" x14ac:dyDescent="0.3"/>
  <cols>
    <col min="1" max="1" width="15.5546875" customWidth="1"/>
    <col min="2" max="2" width="12.33203125" bestFit="1" customWidth="1"/>
    <col min="3" max="3" width="14.33203125" customWidth="1"/>
    <col min="4" max="4" width="15.6640625" customWidth="1"/>
    <col min="5" max="5" width="1.109375" hidden="1" customWidth="1"/>
  </cols>
  <sheetData>
    <row r="1" spans="1:5" ht="25.8" x14ac:dyDescent="0.5">
      <c r="A1" s="48" t="s">
        <v>66</v>
      </c>
      <c r="B1" s="67"/>
      <c r="C1" s="67"/>
      <c r="D1" s="67"/>
      <c r="E1" s="67"/>
    </row>
    <row r="2" spans="1:5" x14ac:dyDescent="0.3">
      <c r="A2" s="25" t="s">
        <v>67</v>
      </c>
      <c r="B2" s="25" t="s">
        <v>1</v>
      </c>
      <c r="C2" s="25"/>
      <c r="D2" s="25" t="s">
        <v>58</v>
      </c>
    </row>
    <row r="3" spans="1:5" x14ac:dyDescent="0.3">
      <c r="A3" s="26" t="s">
        <v>37</v>
      </c>
      <c r="B3" s="27">
        <f>SUMIFS(Data[Amount],Data[Geography],A3)</f>
        <v>218813</v>
      </c>
      <c r="C3" s="28">
        <v>218813</v>
      </c>
      <c r="D3" s="29">
        <v>7431</v>
      </c>
    </row>
    <row r="4" spans="1:5" x14ac:dyDescent="0.3">
      <c r="A4" s="28" t="s">
        <v>35</v>
      </c>
      <c r="B4" s="27">
        <f>SUMIFS(Data[Amount],Data[Geography],A4)</f>
        <v>189434</v>
      </c>
      <c r="C4" s="28">
        <v>189434</v>
      </c>
      <c r="D4" s="29">
        <v>10158</v>
      </c>
    </row>
    <row r="5" spans="1:5" x14ac:dyDescent="0.3">
      <c r="A5" s="28" t="s">
        <v>36</v>
      </c>
      <c r="B5" s="27">
        <f>SUMIFS(Data[Amount],Data[Geography],A5)</f>
        <v>237944</v>
      </c>
      <c r="C5" s="28">
        <v>237944</v>
      </c>
      <c r="D5" s="29">
        <v>7302</v>
      </c>
    </row>
    <row r="6" spans="1:5" x14ac:dyDescent="0.3">
      <c r="A6" s="26" t="s">
        <v>39</v>
      </c>
      <c r="B6" s="27">
        <f>SUMIFS(Data[Amount],Data[Geography],A6)</f>
        <v>173530</v>
      </c>
      <c r="C6" s="28">
        <v>173530</v>
      </c>
      <c r="D6" s="29">
        <v>5745</v>
      </c>
    </row>
    <row r="7" spans="1:5" x14ac:dyDescent="0.3">
      <c r="A7" s="26" t="s">
        <v>38</v>
      </c>
      <c r="B7" s="27">
        <f>SUMIFS(Data[Amount],Data[Geography],A7)</f>
        <v>168679</v>
      </c>
      <c r="C7" s="28">
        <v>168679</v>
      </c>
      <c r="D7" s="29">
        <v>6264</v>
      </c>
    </row>
    <row r="8" spans="1:5" x14ac:dyDescent="0.3">
      <c r="A8" s="28" t="s">
        <v>34</v>
      </c>
      <c r="B8" s="27">
        <f>SUMIFS(Data[Amount],Data[Geography],A8)</f>
        <v>252469</v>
      </c>
      <c r="C8" s="28">
        <v>252469</v>
      </c>
      <c r="D8" s="29">
        <v>8760</v>
      </c>
    </row>
  </sheetData>
  <mergeCells count="1">
    <mergeCell ref="A1:E1"/>
  </mergeCells>
  <conditionalFormatting sqref="C2:C8">
    <cfRule type="dataBar" priority="1">
      <dataBar showValue="0">
        <cfvo type="min"/>
        <cfvo type="max"/>
        <color rgb="FF00B0F0"/>
      </dataBar>
      <extLst>
        <ext xmlns:x14="http://schemas.microsoft.com/office/spreadsheetml/2009/9/main" uri="{B025F937-C7B1-47D3-B67F-A62EFF666E3E}">
          <x14:id>{BBD51D78-DF69-4FB4-80E7-ED5A5A8EBD58}</x14:id>
        </ext>
      </extLst>
    </cfRule>
  </conditionalFormatting>
  <conditionalFormatting sqref="D1">
    <cfRule type="dataBar" priority="9">
      <dataBar>
        <cfvo type="min"/>
        <cfvo type="max"/>
        <color rgb="FFFFB628"/>
      </dataBar>
      <extLst>
        <ext xmlns:x14="http://schemas.microsoft.com/office/spreadsheetml/2009/9/main" uri="{B025F937-C7B1-47D3-B67F-A62EFF666E3E}">
          <x14:id>{7371C2E3-015B-4E85-AB48-12A7A3C703A1}</x14:id>
        </ext>
      </extLst>
    </cfRule>
    <cfRule type="cellIs" dxfId="4" priority="10" operator="lessThan">
      <formula>2000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BD51D78-DF69-4FB4-80E7-ED5A5A8EBD58}">
            <x14:dataBar minLength="0" maxLength="100" border="1" negativeBarBorderColorSameAsPositive="0">
              <x14:cfvo type="autoMin"/>
              <x14:cfvo type="autoMax"/>
              <x14:borderColor rgb="FF0070C0"/>
              <x14:negativeFillColor rgb="FFFF0000"/>
              <x14:negativeBorderColor rgb="FFFF0000"/>
              <x14:axisColor rgb="FF000000"/>
            </x14:dataBar>
          </x14:cfRule>
          <xm:sqref>C2:C8</xm:sqref>
        </x14:conditionalFormatting>
        <x14:conditionalFormatting xmlns:xm="http://schemas.microsoft.com/office/excel/2006/main">
          <x14:cfRule type="dataBar" id="{7371C2E3-015B-4E85-AB48-12A7A3C703A1}">
            <x14:dataBar minLength="0" maxLength="100" border="1" negativeBarBorderColorSameAsPositive="0">
              <x14:cfvo type="autoMin"/>
              <x14:cfvo type="autoMax"/>
              <x14:borderColor rgb="FFFFB628"/>
              <x14:negativeFillColor rgb="FFFF0000"/>
              <x14:negativeBorderColor rgb="FFFF0000"/>
              <x14:axisColor rgb="FF000000"/>
            </x14:dataBar>
          </x14:cfRule>
          <xm:sqref>D1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E9FD-C1D1-44D7-8302-4020B1077F0A}">
  <dimension ref="A1:E303"/>
  <sheetViews>
    <sheetView topLeftCell="A4" zoomScale="160" zoomScaleNormal="160" workbookViewId="0">
      <selection sqref="A1:E1"/>
    </sheetView>
  </sheetViews>
  <sheetFormatPr defaultRowHeight="14.4" x14ac:dyDescent="0.3"/>
  <cols>
    <col min="1" max="1" width="19" customWidth="1"/>
    <col min="2" max="2" width="15.21875" customWidth="1"/>
    <col min="3" max="3" width="23.109375" customWidth="1"/>
    <col min="4" max="4" width="15.109375" customWidth="1"/>
    <col min="5" max="5" width="14.77734375" customWidth="1"/>
    <col min="6" max="6" width="8.44140625" customWidth="1"/>
    <col min="7" max="7" width="10.21875" customWidth="1"/>
    <col min="8" max="8" width="9.33203125" customWidth="1"/>
  </cols>
  <sheetData>
    <row r="1" spans="1:5" ht="22.8" x14ac:dyDescent="0.4">
      <c r="A1" s="48" t="s">
        <v>53</v>
      </c>
      <c r="B1" s="48"/>
      <c r="C1" s="48"/>
      <c r="D1" s="48"/>
      <c r="E1" s="48"/>
    </row>
    <row r="3" spans="1:5" x14ac:dyDescent="0.3">
      <c r="A3" s="6" t="s">
        <v>11</v>
      </c>
      <c r="B3" s="6" t="s">
        <v>12</v>
      </c>
      <c r="C3" s="6" t="s">
        <v>0</v>
      </c>
      <c r="D3" s="10" t="s">
        <v>1</v>
      </c>
      <c r="E3" s="10" t="s">
        <v>50</v>
      </c>
    </row>
    <row r="4" spans="1:5" x14ac:dyDescent="0.3">
      <c r="A4" t="s">
        <v>40</v>
      </c>
      <c r="B4" t="s">
        <v>37</v>
      </c>
      <c r="C4" t="s">
        <v>30</v>
      </c>
      <c r="D4" s="4">
        <v>1624</v>
      </c>
      <c r="E4" s="5">
        <v>114</v>
      </c>
    </row>
    <row r="5" spans="1:5" x14ac:dyDescent="0.3">
      <c r="A5" t="s">
        <v>8</v>
      </c>
      <c r="B5" t="s">
        <v>35</v>
      </c>
      <c r="C5" t="s">
        <v>32</v>
      </c>
      <c r="D5" s="4">
        <v>6706</v>
      </c>
      <c r="E5" s="5">
        <v>459</v>
      </c>
    </row>
    <row r="6" spans="1:5" x14ac:dyDescent="0.3">
      <c r="A6" t="s">
        <v>9</v>
      </c>
      <c r="B6" t="s">
        <v>35</v>
      </c>
      <c r="C6" t="s">
        <v>4</v>
      </c>
      <c r="D6" s="4">
        <v>959</v>
      </c>
      <c r="E6" s="5">
        <v>147</v>
      </c>
    </row>
    <row r="7" spans="1:5" x14ac:dyDescent="0.3">
      <c r="A7" t="s">
        <v>41</v>
      </c>
      <c r="B7" t="s">
        <v>36</v>
      </c>
      <c r="C7" t="s">
        <v>18</v>
      </c>
      <c r="D7" s="4">
        <v>9632</v>
      </c>
      <c r="E7" s="5">
        <v>288</v>
      </c>
    </row>
    <row r="8" spans="1:5" x14ac:dyDescent="0.3">
      <c r="A8" t="s">
        <v>6</v>
      </c>
      <c r="B8" t="s">
        <v>39</v>
      </c>
      <c r="C8" t="s">
        <v>25</v>
      </c>
      <c r="D8" s="4">
        <v>2100</v>
      </c>
      <c r="E8" s="5">
        <v>414</v>
      </c>
    </row>
    <row r="9" spans="1:5" x14ac:dyDescent="0.3">
      <c r="A9" t="s">
        <v>40</v>
      </c>
      <c r="B9" t="s">
        <v>35</v>
      </c>
      <c r="C9" t="s">
        <v>33</v>
      </c>
      <c r="D9" s="4">
        <v>8869</v>
      </c>
      <c r="E9" s="5">
        <v>432</v>
      </c>
    </row>
    <row r="10" spans="1:5" x14ac:dyDescent="0.3">
      <c r="A10" t="s">
        <v>6</v>
      </c>
      <c r="B10" t="s">
        <v>38</v>
      </c>
      <c r="C10" t="s">
        <v>31</v>
      </c>
      <c r="D10" s="4">
        <v>2681</v>
      </c>
      <c r="E10" s="5">
        <v>54</v>
      </c>
    </row>
    <row r="11" spans="1:5" x14ac:dyDescent="0.3">
      <c r="A11" t="s">
        <v>8</v>
      </c>
      <c r="B11" t="s">
        <v>35</v>
      </c>
      <c r="C11" t="s">
        <v>22</v>
      </c>
      <c r="D11" s="4">
        <v>5012</v>
      </c>
      <c r="E11" s="5">
        <v>210</v>
      </c>
    </row>
    <row r="12" spans="1:5" x14ac:dyDescent="0.3">
      <c r="A12" t="s">
        <v>7</v>
      </c>
      <c r="B12" t="s">
        <v>38</v>
      </c>
      <c r="C12" t="s">
        <v>14</v>
      </c>
      <c r="D12" s="4">
        <v>1281</v>
      </c>
      <c r="E12" s="5">
        <v>75</v>
      </c>
    </row>
    <row r="13" spans="1:5" x14ac:dyDescent="0.3">
      <c r="A13" t="s">
        <v>5</v>
      </c>
      <c r="B13" t="s">
        <v>37</v>
      </c>
      <c r="C13" t="s">
        <v>14</v>
      </c>
      <c r="D13" s="4">
        <v>4991</v>
      </c>
      <c r="E13" s="5">
        <v>12</v>
      </c>
    </row>
    <row r="14" spans="1:5" x14ac:dyDescent="0.3">
      <c r="A14" t="s">
        <v>2</v>
      </c>
      <c r="B14" t="s">
        <v>39</v>
      </c>
      <c r="C14" t="s">
        <v>25</v>
      </c>
      <c r="D14" s="4">
        <v>1785</v>
      </c>
      <c r="E14" s="5">
        <v>462</v>
      </c>
    </row>
    <row r="15" spans="1:5" x14ac:dyDescent="0.3">
      <c r="A15" t="s">
        <v>3</v>
      </c>
      <c r="B15" t="s">
        <v>37</v>
      </c>
      <c r="C15" t="s">
        <v>17</v>
      </c>
      <c r="D15" s="4">
        <v>3983</v>
      </c>
      <c r="E15" s="5">
        <v>144</v>
      </c>
    </row>
    <row r="16" spans="1:5" x14ac:dyDescent="0.3">
      <c r="A16" t="s">
        <v>9</v>
      </c>
      <c r="B16" t="s">
        <v>38</v>
      </c>
      <c r="C16" t="s">
        <v>16</v>
      </c>
      <c r="D16" s="4">
        <v>2646</v>
      </c>
      <c r="E16" s="5">
        <v>120</v>
      </c>
    </row>
    <row r="17" spans="1:5" x14ac:dyDescent="0.3">
      <c r="A17" t="s">
        <v>2</v>
      </c>
      <c r="B17" t="s">
        <v>34</v>
      </c>
      <c r="C17" t="s">
        <v>13</v>
      </c>
      <c r="D17" s="4">
        <v>252</v>
      </c>
      <c r="E17" s="5">
        <v>54</v>
      </c>
    </row>
    <row r="18" spans="1:5" x14ac:dyDescent="0.3">
      <c r="A18" t="s">
        <v>3</v>
      </c>
      <c r="B18" t="s">
        <v>35</v>
      </c>
      <c r="C18" t="s">
        <v>25</v>
      </c>
      <c r="D18" s="4">
        <v>2464</v>
      </c>
      <c r="E18" s="5">
        <v>234</v>
      </c>
    </row>
    <row r="19" spans="1:5" x14ac:dyDescent="0.3">
      <c r="A19" t="s">
        <v>3</v>
      </c>
      <c r="B19" t="s">
        <v>35</v>
      </c>
      <c r="C19" t="s">
        <v>29</v>
      </c>
      <c r="D19" s="4">
        <v>2114</v>
      </c>
      <c r="E19" s="5">
        <v>66</v>
      </c>
    </row>
    <row r="20" spans="1:5" x14ac:dyDescent="0.3">
      <c r="A20" t="s">
        <v>6</v>
      </c>
      <c r="B20" t="s">
        <v>37</v>
      </c>
      <c r="C20" t="s">
        <v>31</v>
      </c>
      <c r="D20" s="4">
        <v>7693</v>
      </c>
      <c r="E20" s="5">
        <v>87</v>
      </c>
    </row>
    <row r="21" spans="1:5" x14ac:dyDescent="0.3">
      <c r="A21" t="s">
        <v>5</v>
      </c>
      <c r="B21" t="s">
        <v>34</v>
      </c>
      <c r="C21" t="s">
        <v>20</v>
      </c>
      <c r="D21" s="4">
        <v>15610</v>
      </c>
      <c r="E21" s="5">
        <v>339</v>
      </c>
    </row>
    <row r="22" spans="1:5" x14ac:dyDescent="0.3">
      <c r="A22" t="s">
        <v>41</v>
      </c>
      <c r="B22" t="s">
        <v>34</v>
      </c>
      <c r="C22" t="s">
        <v>22</v>
      </c>
      <c r="D22" s="4">
        <v>336</v>
      </c>
      <c r="E22" s="5">
        <v>144</v>
      </c>
    </row>
    <row r="23" spans="1:5" x14ac:dyDescent="0.3">
      <c r="A23" t="s">
        <v>2</v>
      </c>
      <c r="B23" t="s">
        <v>39</v>
      </c>
      <c r="C23" t="s">
        <v>20</v>
      </c>
      <c r="D23" s="4">
        <v>9443</v>
      </c>
      <c r="E23" s="5">
        <v>162</v>
      </c>
    </row>
    <row r="24" spans="1:5" x14ac:dyDescent="0.3">
      <c r="A24" t="s">
        <v>9</v>
      </c>
      <c r="B24" t="s">
        <v>34</v>
      </c>
      <c r="C24" t="s">
        <v>23</v>
      </c>
      <c r="D24" s="4">
        <v>8155</v>
      </c>
      <c r="E24" s="5">
        <v>90</v>
      </c>
    </row>
    <row r="25" spans="1:5" x14ac:dyDescent="0.3">
      <c r="A25" t="s">
        <v>8</v>
      </c>
      <c r="B25" t="s">
        <v>38</v>
      </c>
      <c r="C25" t="s">
        <v>23</v>
      </c>
      <c r="D25" s="4">
        <v>1701</v>
      </c>
      <c r="E25" s="5">
        <v>234</v>
      </c>
    </row>
    <row r="26" spans="1:5" x14ac:dyDescent="0.3">
      <c r="A26" t="s">
        <v>10</v>
      </c>
      <c r="B26" t="s">
        <v>38</v>
      </c>
      <c r="C26" t="s">
        <v>22</v>
      </c>
      <c r="D26" s="4">
        <v>2205</v>
      </c>
      <c r="E26" s="5">
        <v>141</v>
      </c>
    </row>
    <row r="27" spans="1:5" x14ac:dyDescent="0.3">
      <c r="A27" t="s">
        <v>8</v>
      </c>
      <c r="B27" t="s">
        <v>37</v>
      </c>
      <c r="C27" t="s">
        <v>19</v>
      </c>
      <c r="D27" s="4">
        <v>1771</v>
      </c>
      <c r="E27" s="5">
        <v>204</v>
      </c>
    </row>
    <row r="28" spans="1:5" x14ac:dyDescent="0.3">
      <c r="A28" t="s">
        <v>41</v>
      </c>
      <c r="B28" t="s">
        <v>35</v>
      </c>
      <c r="C28" t="s">
        <v>15</v>
      </c>
      <c r="D28" s="4">
        <v>2114</v>
      </c>
      <c r="E28" s="5">
        <v>186</v>
      </c>
    </row>
    <row r="29" spans="1:5" x14ac:dyDescent="0.3">
      <c r="A29" t="s">
        <v>41</v>
      </c>
      <c r="B29" t="s">
        <v>36</v>
      </c>
      <c r="C29" t="s">
        <v>13</v>
      </c>
      <c r="D29" s="4">
        <v>10311</v>
      </c>
      <c r="E29" s="5">
        <v>231</v>
      </c>
    </row>
    <row r="30" spans="1:5" x14ac:dyDescent="0.3">
      <c r="A30" t="s">
        <v>3</v>
      </c>
      <c r="B30" t="s">
        <v>39</v>
      </c>
      <c r="C30" t="s">
        <v>16</v>
      </c>
      <c r="D30" s="4">
        <v>21</v>
      </c>
      <c r="E30" s="5">
        <v>168</v>
      </c>
    </row>
    <row r="31" spans="1:5" x14ac:dyDescent="0.3">
      <c r="A31" t="s">
        <v>10</v>
      </c>
      <c r="B31" t="s">
        <v>35</v>
      </c>
      <c r="C31" t="s">
        <v>20</v>
      </c>
      <c r="D31" s="4">
        <v>1974</v>
      </c>
      <c r="E31" s="5">
        <v>195</v>
      </c>
    </row>
    <row r="32" spans="1:5" x14ac:dyDescent="0.3">
      <c r="A32" t="s">
        <v>5</v>
      </c>
      <c r="B32" t="s">
        <v>36</v>
      </c>
      <c r="C32" t="s">
        <v>23</v>
      </c>
      <c r="D32" s="4">
        <v>6314</v>
      </c>
      <c r="E32" s="5">
        <v>15</v>
      </c>
    </row>
    <row r="33" spans="1:5" x14ac:dyDescent="0.3">
      <c r="A33" t="s">
        <v>10</v>
      </c>
      <c r="B33" t="s">
        <v>37</v>
      </c>
      <c r="C33" t="s">
        <v>23</v>
      </c>
      <c r="D33" s="4">
        <v>4683</v>
      </c>
      <c r="E33" s="5">
        <v>30</v>
      </c>
    </row>
    <row r="34" spans="1:5" x14ac:dyDescent="0.3">
      <c r="A34" t="s">
        <v>41</v>
      </c>
      <c r="B34" t="s">
        <v>37</v>
      </c>
      <c r="C34" t="s">
        <v>24</v>
      </c>
      <c r="D34" s="4">
        <v>6398</v>
      </c>
      <c r="E34" s="5">
        <v>102</v>
      </c>
    </row>
    <row r="35" spans="1:5" x14ac:dyDescent="0.3">
      <c r="A35" t="s">
        <v>2</v>
      </c>
      <c r="B35" t="s">
        <v>35</v>
      </c>
      <c r="C35" t="s">
        <v>19</v>
      </c>
      <c r="D35" s="4">
        <v>553</v>
      </c>
      <c r="E35" s="5">
        <v>15</v>
      </c>
    </row>
    <row r="36" spans="1:5" x14ac:dyDescent="0.3">
      <c r="A36" t="s">
        <v>8</v>
      </c>
      <c r="B36" t="s">
        <v>39</v>
      </c>
      <c r="C36" t="s">
        <v>30</v>
      </c>
      <c r="D36" s="4">
        <v>7021</v>
      </c>
      <c r="E36" s="5">
        <v>183</v>
      </c>
    </row>
    <row r="37" spans="1:5" x14ac:dyDescent="0.3">
      <c r="A37" t="s">
        <v>40</v>
      </c>
      <c r="B37" t="s">
        <v>39</v>
      </c>
      <c r="C37" t="s">
        <v>22</v>
      </c>
      <c r="D37" s="4">
        <v>5817</v>
      </c>
      <c r="E37" s="5">
        <v>12</v>
      </c>
    </row>
    <row r="38" spans="1:5" x14ac:dyDescent="0.3">
      <c r="A38" t="s">
        <v>41</v>
      </c>
      <c r="B38" t="s">
        <v>39</v>
      </c>
      <c r="C38" t="s">
        <v>14</v>
      </c>
      <c r="D38" s="4">
        <v>3976</v>
      </c>
      <c r="E38" s="5">
        <v>72</v>
      </c>
    </row>
    <row r="39" spans="1:5" x14ac:dyDescent="0.3">
      <c r="A39" t="s">
        <v>6</v>
      </c>
      <c r="B39" t="s">
        <v>38</v>
      </c>
      <c r="C39" t="s">
        <v>27</v>
      </c>
      <c r="D39" s="4">
        <v>1134</v>
      </c>
      <c r="E39" s="5">
        <v>282</v>
      </c>
    </row>
    <row r="40" spans="1:5" x14ac:dyDescent="0.3">
      <c r="A40" t="s">
        <v>2</v>
      </c>
      <c r="B40" t="s">
        <v>39</v>
      </c>
      <c r="C40" t="s">
        <v>28</v>
      </c>
      <c r="D40" s="4">
        <v>6027</v>
      </c>
      <c r="E40" s="5">
        <v>144</v>
      </c>
    </row>
    <row r="41" spans="1:5" x14ac:dyDescent="0.3">
      <c r="A41" t="s">
        <v>6</v>
      </c>
      <c r="B41" t="s">
        <v>37</v>
      </c>
      <c r="C41" t="s">
        <v>16</v>
      </c>
      <c r="D41" s="4">
        <v>1904</v>
      </c>
      <c r="E41" s="5">
        <v>405</v>
      </c>
    </row>
    <row r="42" spans="1:5" x14ac:dyDescent="0.3">
      <c r="A42" t="s">
        <v>7</v>
      </c>
      <c r="B42" t="s">
        <v>34</v>
      </c>
      <c r="C42" t="s">
        <v>32</v>
      </c>
      <c r="D42" s="4">
        <v>3262</v>
      </c>
      <c r="E42" s="5">
        <v>75</v>
      </c>
    </row>
    <row r="43" spans="1:5" x14ac:dyDescent="0.3">
      <c r="A43" t="s">
        <v>40</v>
      </c>
      <c r="B43" t="s">
        <v>34</v>
      </c>
      <c r="C43" t="s">
        <v>27</v>
      </c>
      <c r="D43" s="4">
        <v>2289</v>
      </c>
      <c r="E43" s="5">
        <v>135</v>
      </c>
    </row>
    <row r="44" spans="1:5" x14ac:dyDescent="0.3">
      <c r="A44" t="s">
        <v>5</v>
      </c>
      <c r="B44" t="s">
        <v>34</v>
      </c>
      <c r="C44" t="s">
        <v>27</v>
      </c>
      <c r="D44" s="4">
        <v>6986</v>
      </c>
      <c r="E44" s="5">
        <v>21</v>
      </c>
    </row>
    <row r="45" spans="1:5" x14ac:dyDescent="0.3">
      <c r="A45" t="s">
        <v>2</v>
      </c>
      <c r="B45" t="s">
        <v>38</v>
      </c>
      <c r="C45" t="s">
        <v>23</v>
      </c>
      <c r="D45" s="4">
        <v>4417</v>
      </c>
      <c r="E45" s="5">
        <v>153</v>
      </c>
    </row>
    <row r="46" spans="1:5" x14ac:dyDescent="0.3">
      <c r="A46" t="s">
        <v>6</v>
      </c>
      <c r="B46" t="s">
        <v>34</v>
      </c>
      <c r="C46" t="s">
        <v>15</v>
      </c>
      <c r="D46" s="4">
        <v>1442</v>
      </c>
      <c r="E46" s="5">
        <v>15</v>
      </c>
    </row>
    <row r="47" spans="1:5" x14ac:dyDescent="0.3">
      <c r="A47" t="s">
        <v>3</v>
      </c>
      <c r="B47" t="s">
        <v>35</v>
      </c>
      <c r="C47" t="s">
        <v>14</v>
      </c>
      <c r="D47" s="4">
        <v>2415</v>
      </c>
      <c r="E47" s="5">
        <v>255</v>
      </c>
    </row>
    <row r="48" spans="1:5" x14ac:dyDescent="0.3">
      <c r="A48" t="s">
        <v>2</v>
      </c>
      <c r="B48" t="s">
        <v>37</v>
      </c>
      <c r="C48" t="s">
        <v>19</v>
      </c>
      <c r="D48" s="4">
        <v>238</v>
      </c>
      <c r="E48" s="5">
        <v>18</v>
      </c>
    </row>
    <row r="49" spans="1:5" x14ac:dyDescent="0.3">
      <c r="A49" t="s">
        <v>6</v>
      </c>
      <c r="B49" t="s">
        <v>37</v>
      </c>
      <c r="C49" t="s">
        <v>23</v>
      </c>
      <c r="D49" s="4">
        <v>4949</v>
      </c>
      <c r="E49" s="5">
        <v>189</v>
      </c>
    </row>
    <row r="50" spans="1:5" x14ac:dyDescent="0.3">
      <c r="A50" t="s">
        <v>5</v>
      </c>
      <c r="B50" t="s">
        <v>38</v>
      </c>
      <c r="C50" t="s">
        <v>32</v>
      </c>
      <c r="D50" s="4">
        <v>5075</v>
      </c>
      <c r="E50" s="5">
        <v>21</v>
      </c>
    </row>
    <row r="51" spans="1:5" x14ac:dyDescent="0.3">
      <c r="A51" t="s">
        <v>3</v>
      </c>
      <c r="B51" t="s">
        <v>36</v>
      </c>
      <c r="C51" t="s">
        <v>16</v>
      </c>
      <c r="D51" s="4">
        <v>9198</v>
      </c>
      <c r="E51" s="5">
        <v>36</v>
      </c>
    </row>
    <row r="52" spans="1:5" x14ac:dyDescent="0.3">
      <c r="A52" t="s">
        <v>6</v>
      </c>
      <c r="B52" t="s">
        <v>34</v>
      </c>
      <c r="C52" t="s">
        <v>29</v>
      </c>
      <c r="D52" s="4">
        <v>3339</v>
      </c>
      <c r="E52" s="5">
        <v>75</v>
      </c>
    </row>
    <row r="53" spans="1:5" x14ac:dyDescent="0.3">
      <c r="A53" t="s">
        <v>40</v>
      </c>
      <c r="B53" t="s">
        <v>34</v>
      </c>
      <c r="C53" t="s">
        <v>17</v>
      </c>
      <c r="D53" s="4">
        <v>5019</v>
      </c>
      <c r="E53" s="5">
        <v>156</v>
      </c>
    </row>
    <row r="54" spans="1:5" x14ac:dyDescent="0.3">
      <c r="A54" t="s">
        <v>5</v>
      </c>
      <c r="B54" t="s">
        <v>36</v>
      </c>
      <c r="C54" t="s">
        <v>16</v>
      </c>
      <c r="D54" s="4">
        <v>16184</v>
      </c>
      <c r="E54" s="5">
        <v>39</v>
      </c>
    </row>
    <row r="55" spans="1:5" x14ac:dyDescent="0.3">
      <c r="A55" t="s">
        <v>6</v>
      </c>
      <c r="B55" t="s">
        <v>36</v>
      </c>
      <c r="C55" t="s">
        <v>21</v>
      </c>
      <c r="D55" s="4">
        <v>497</v>
      </c>
      <c r="E55" s="5">
        <v>63</v>
      </c>
    </row>
    <row r="56" spans="1:5" x14ac:dyDescent="0.3">
      <c r="A56" t="s">
        <v>2</v>
      </c>
      <c r="B56" t="s">
        <v>36</v>
      </c>
      <c r="C56" t="s">
        <v>29</v>
      </c>
      <c r="D56" s="4">
        <v>8211</v>
      </c>
      <c r="E56" s="5">
        <v>75</v>
      </c>
    </row>
    <row r="57" spans="1:5" x14ac:dyDescent="0.3">
      <c r="A57" t="s">
        <v>2</v>
      </c>
      <c r="B57" t="s">
        <v>38</v>
      </c>
      <c r="C57" t="s">
        <v>28</v>
      </c>
      <c r="D57" s="4">
        <v>6580</v>
      </c>
      <c r="E57" s="5">
        <v>183</v>
      </c>
    </row>
    <row r="58" spans="1:5" x14ac:dyDescent="0.3">
      <c r="A58" t="s">
        <v>41</v>
      </c>
      <c r="B58" t="s">
        <v>35</v>
      </c>
      <c r="C58" t="s">
        <v>13</v>
      </c>
      <c r="D58" s="4">
        <v>4760</v>
      </c>
      <c r="E58" s="5">
        <v>69</v>
      </c>
    </row>
    <row r="59" spans="1:5" x14ac:dyDescent="0.3">
      <c r="A59" t="s">
        <v>40</v>
      </c>
      <c r="B59" t="s">
        <v>36</v>
      </c>
      <c r="C59" t="s">
        <v>25</v>
      </c>
      <c r="D59" s="4">
        <v>5439</v>
      </c>
      <c r="E59" s="5">
        <v>30</v>
      </c>
    </row>
    <row r="60" spans="1:5" x14ac:dyDescent="0.3">
      <c r="A60" t="s">
        <v>41</v>
      </c>
      <c r="B60" t="s">
        <v>34</v>
      </c>
      <c r="C60" t="s">
        <v>17</v>
      </c>
      <c r="D60" s="4">
        <v>1463</v>
      </c>
      <c r="E60" s="5">
        <v>39</v>
      </c>
    </row>
    <row r="61" spans="1:5" x14ac:dyDescent="0.3">
      <c r="A61" t="s">
        <v>3</v>
      </c>
      <c r="B61" t="s">
        <v>34</v>
      </c>
      <c r="C61" t="s">
        <v>32</v>
      </c>
      <c r="D61" s="4">
        <v>7777</v>
      </c>
      <c r="E61" s="5">
        <v>504</v>
      </c>
    </row>
    <row r="62" spans="1:5" x14ac:dyDescent="0.3">
      <c r="A62" t="s">
        <v>9</v>
      </c>
      <c r="B62" t="s">
        <v>37</v>
      </c>
      <c r="C62" t="s">
        <v>29</v>
      </c>
      <c r="D62" s="4">
        <v>1085</v>
      </c>
      <c r="E62" s="5">
        <v>273</v>
      </c>
    </row>
    <row r="63" spans="1:5" x14ac:dyDescent="0.3">
      <c r="A63" t="s">
        <v>5</v>
      </c>
      <c r="B63" t="s">
        <v>37</v>
      </c>
      <c r="C63" t="s">
        <v>31</v>
      </c>
      <c r="D63" s="4">
        <v>182</v>
      </c>
      <c r="E63" s="5">
        <v>48</v>
      </c>
    </row>
    <row r="64" spans="1:5" x14ac:dyDescent="0.3">
      <c r="A64" t="s">
        <v>6</v>
      </c>
      <c r="B64" t="s">
        <v>34</v>
      </c>
      <c r="C64" t="s">
        <v>27</v>
      </c>
      <c r="D64" s="4">
        <v>4242</v>
      </c>
      <c r="E64" s="5">
        <v>207</v>
      </c>
    </row>
    <row r="65" spans="1:5" x14ac:dyDescent="0.3">
      <c r="A65" t="s">
        <v>6</v>
      </c>
      <c r="B65" t="s">
        <v>36</v>
      </c>
      <c r="C65" t="s">
        <v>32</v>
      </c>
      <c r="D65" s="4">
        <v>6118</v>
      </c>
      <c r="E65" s="5">
        <v>9</v>
      </c>
    </row>
    <row r="66" spans="1:5" x14ac:dyDescent="0.3">
      <c r="A66" t="s">
        <v>10</v>
      </c>
      <c r="B66" t="s">
        <v>36</v>
      </c>
      <c r="C66" t="s">
        <v>23</v>
      </c>
      <c r="D66" s="4">
        <v>2317</v>
      </c>
      <c r="E66" s="5">
        <v>261</v>
      </c>
    </row>
    <row r="67" spans="1:5" x14ac:dyDescent="0.3">
      <c r="A67" t="s">
        <v>6</v>
      </c>
      <c r="B67" t="s">
        <v>38</v>
      </c>
      <c r="C67" t="s">
        <v>16</v>
      </c>
      <c r="D67" s="4">
        <v>938</v>
      </c>
      <c r="E67" s="5">
        <v>6</v>
      </c>
    </row>
    <row r="68" spans="1:5" x14ac:dyDescent="0.3">
      <c r="A68" t="s">
        <v>8</v>
      </c>
      <c r="B68" t="s">
        <v>37</v>
      </c>
      <c r="C68" t="s">
        <v>15</v>
      </c>
      <c r="D68" s="4">
        <v>9709</v>
      </c>
      <c r="E68" s="5">
        <v>30</v>
      </c>
    </row>
    <row r="69" spans="1:5" x14ac:dyDescent="0.3">
      <c r="A69" t="s">
        <v>7</v>
      </c>
      <c r="B69" t="s">
        <v>34</v>
      </c>
      <c r="C69" t="s">
        <v>20</v>
      </c>
      <c r="D69" s="4">
        <v>2205</v>
      </c>
      <c r="E69" s="5">
        <v>138</v>
      </c>
    </row>
    <row r="70" spans="1:5" x14ac:dyDescent="0.3">
      <c r="A70" t="s">
        <v>7</v>
      </c>
      <c r="B70" t="s">
        <v>37</v>
      </c>
      <c r="C70" t="s">
        <v>17</v>
      </c>
      <c r="D70" s="4">
        <v>4487</v>
      </c>
      <c r="E70" s="5">
        <v>111</v>
      </c>
    </row>
    <row r="71" spans="1:5" x14ac:dyDescent="0.3">
      <c r="A71" t="s">
        <v>5</v>
      </c>
      <c r="B71" t="s">
        <v>35</v>
      </c>
      <c r="C71" t="s">
        <v>18</v>
      </c>
      <c r="D71" s="4">
        <v>2415</v>
      </c>
      <c r="E71" s="5">
        <v>15</v>
      </c>
    </row>
    <row r="72" spans="1:5" x14ac:dyDescent="0.3">
      <c r="A72" t="s">
        <v>40</v>
      </c>
      <c r="B72" t="s">
        <v>34</v>
      </c>
      <c r="C72" t="s">
        <v>19</v>
      </c>
      <c r="D72" s="4">
        <v>4018</v>
      </c>
      <c r="E72" s="5">
        <v>162</v>
      </c>
    </row>
    <row r="73" spans="1:5" x14ac:dyDescent="0.3">
      <c r="A73" t="s">
        <v>5</v>
      </c>
      <c r="B73" t="s">
        <v>34</v>
      </c>
      <c r="C73" t="s">
        <v>19</v>
      </c>
      <c r="D73" s="4">
        <v>861</v>
      </c>
      <c r="E73" s="5">
        <v>195</v>
      </c>
    </row>
    <row r="74" spans="1:5" x14ac:dyDescent="0.3">
      <c r="A74" t="s">
        <v>10</v>
      </c>
      <c r="B74" t="s">
        <v>38</v>
      </c>
      <c r="C74" t="s">
        <v>14</v>
      </c>
      <c r="D74" s="4">
        <v>5586</v>
      </c>
      <c r="E74" s="5">
        <v>525</v>
      </c>
    </row>
    <row r="75" spans="1:5" x14ac:dyDescent="0.3">
      <c r="A75" t="s">
        <v>7</v>
      </c>
      <c r="B75" t="s">
        <v>34</v>
      </c>
      <c r="C75" t="s">
        <v>33</v>
      </c>
      <c r="D75" s="4">
        <v>2226</v>
      </c>
      <c r="E75" s="5">
        <v>48</v>
      </c>
    </row>
    <row r="76" spans="1:5" x14ac:dyDescent="0.3">
      <c r="A76" t="s">
        <v>9</v>
      </c>
      <c r="B76" t="s">
        <v>34</v>
      </c>
      <c r="C76" t="s">
        <v>28</v>
      </c>
      <c r="D76" s="4">
        <v>14329</v>
      </c>
      <c r="E76" s="5">
        <v>150</v>
      </c>
    </row>
    <row r="77" spans="1:5" x14ac:dyDescent="0.3">
      <c r="A77" t="s">
        <v>9</v>
      </c>
      <c r="B77" t="s">
        <v>34</v>
      </c>
      <c r="C77" t="s">
        <v>20</v>
      </c>
      <c r="D77" s="4">
        <v>8463</v>
      </c>
      <c r="E77" s="5">
        <v>492</v>
      </c>
    </row>
    <row r="78" spans="1:5" x14ac:dyDescent="0.3">
      <c r="A78" t="s">
        <v>5</v>
      </c>
      <c r="B78" t="s">
        <v>34</v>
      </c>
      <c r="C78" t="s">
        <v>29</v>
      </c>
      <c r="D78" s="4">
        <v>2891</v>
      </c>
      <c r="E78" s="5">
        <v>102</v>
      </c>
    </row>
    <row r="79" spans="1:5" x14ac:dyDescent="0.3">
      <c r="A79" t="s">
        <v>3</v>
      </c>
      <c r="B79" t="s">
        <v>36</v>
      </c>
      <c r="C79" t="s">
        <v>23</v>
      </c>
      <c r="D79" s="4">
        <v>3773</v>
      </c>
      <c r="E79" s="5">
        <v>165</v>
      </c>
    </row>
    <row r="80" spans="1:5" x14ac:dyDescent="0.3">
      <c r="A80" t="s">
        <v>41</v>
      </c>
      <c r="B80" t="s">
        <v>36</v>
      </c>
      <c r="C80" t="s">
        <v>28</v>
      </c>
      <c r="D80" s="4">
        <v>854</v>
      </c>
      <c r="E80" s="5">
        <v>309</v>
      </c>
    </row>
    <row r="81" spans="1:5" x14ac:dyDescent="0.3">
      <c r="A81" t="s">
        <v>6</v>
      </c>
      <c r="B81" t="s">
        <v>36</v>
      </c>
      <c r="C81" t="s">
        <v>17</v>
      </c>
      <c r="D81" s="4">
        <v>4970</v>
      </c>
      <c r="E81" s="5">
        <v>156</v>
      </c>
    </row>
    <row r="82" spans="1:5" x14ac:dyDescent="0.3">
      <c r="A82" t="s">
        <v>9</v>
      </c>
      <c r="B82" t="s">
        <v>35</v>
      </c>
      <c r="C82" t="s">
        <v>26</v>
      </c>
      <c r="D82" s="4">
        <v>98</v>
      </c>
      <c r="E82" s="5">
        <v>159</v>
      </c>
    </row>
    <row r="83" spans="1:5" x14ac:dyDescent="0.3">
      <c r="A83" t="s">
        <v>5</v>
      </c>
      <c r="B83" t="s">
        <v>35</v>
      </c>
      <c r="C83" t="s">
        <v>15</v>
      </c>
      <c r="D83" s="4">
        <v>13391</v>
      </c>
      <c r="E83" s="5">
        <v>201</v>
      </c>
    </row>
    <row r="84" spans="1:5" x14ac:dyDescent="0.3">
      <c r="A84" t="s">
        <v>8</v>
      </c>
      <c r="B84" t="s">
        <v>39</v>
      </c>
      <c r="C84" t="s">
        <v>31</v>
      </c>
      <c r="D84" s="4">
        <v>8890</v>
      </c>
      <c r="E84" s="5">
        <v>210</v>
      </c>
    </row>
    <row r="85" spans="1:5" x14ac:dyDescent="0.3">
      <c r="A85" t="s">
        <v>2</v>
      </c>
      <c r="B85" t="s">
        <v>38</v>
      </c>
      <c r="C85" t="s">
        <v>13</v>
      </c>
      <c r="D85" s="4">
        <v>56</v>
      </c>
      <c r="E85" s="5">
        <v>51</v>
      </c>
    </row>
    <row r="86" spans="1:5" x14ac:dyDescent="0.3">
      <c r="A86" t="s">
        <v>3</v>
      </c>
      <c r="B86" t="s">
        <v>36</v>
      </c>
      <c r="C86" t="s">
        <v>25</v>
      </c>
      <c r="D86" s="4">
        <v>3339</v>
      </c>
      <c r="E86" s="5">
        <v>39</v>
      </c>
    </row>
    <row r="87" spans="1:5" x14ac:dyDescent="0.3">
      <c r="A87" t="s">
        <v>10</v>
      </c>
      <c r="B87" t="s">
        <v>35</v>
      </c>
      <c r="C87" t="s">
        <v>18</v>
      </c>
      <c r="D87" s="4">
        <v>3808</v>
      </c>
      <c r="E87" s="5">
        <v>279</v>
      </c>
    </row>
    <row r="88" spans="1:5" x14ac:dyDescent="0.3">
      <c r="A88" t="s">
        <v>10</v>
      </c>
      <c r="B88" t="s">
        <v>38</v>
      </c>
      <c r="C88" t="s">
        <v>13</v>
      </c>
      <c r="D88" s="4">
        <v>63</v>
      </c>
      <c r="E88" s="5">
        <v>123</v>
      </c>
    </row>
    <row r="89" spans="1:5" x14ac:dyDescent="0.3">
      <c r="A89" t="s">
        <v>2</v>
      </c>
      <c r="B89" t="s">
        <v>39</v>
      </c>
      <c r="C89" t="s">
        <v>27</v>
      </c>
      <c r="D89" s="4">
        <v>7812</v>
      </c>
      <c r="E89" s="5">
        <v>81</v>
      </c>
    </row>
    <row r="90" spans="1:5" x14ac:dyDescent="0.3">
      <c r="A90" t="s">
        <v>40</v>
      </c>
      <c r="B90" t="s">
        <v>37</v>
      </c>
      <c r="C90" t="s">
        <v>19</v>
      </c>
      <c r="D90" s="4">
        <v>7693</v>
      </c>
      <c r="E90" s="5">
        <v>21</v>
      </c>
    </row>
    <row r="91" spans="1:5" x14ac:dyDescent="0.3">
      <c r="A91" t="s">
        <v>3</v>
      </c>
      <c r="B91" t="s">
        <v>36</v>
      </c>
      <c r="C91" t="s">
        <v>28</v>
      </c>
      <c r="D91" s="4">
        <v>973</v>
      </c>
      <c r="E91" s="5">
        <v>162</v>
      </c>
    </row>
    <row r="92" spans="1:5" x14ac:dyDescent="0.3">
      <c r="A92" t="s">
        <v>10</v>
      </c>
      <c r="B92" t="s">
        <v>35</v>
      </c>
      <c r="C92" t="s">
        <v>21</v>
      </c>
      <c r="D92" s="4">
        <v>567</v>
      </c>
      <c r="E92" s="5">
        <v>228</v>
      </c>
    </row>
    <row r="93" spans="1:5" x14ac:dyDescent="0.3">
      <c r="A93" t="s">
        <v>10</v>
      </c>
      <c r="B93" t="s">
        <v>36</v>
      </c>
      <c r="C93" t="s">
        <v>29</v>
      </c>
      <c r="D93" s="4">
        <v>2471</v>
      </c>
      <c r="E93" s="5">
        <v>342</v>
      </c>
    </row>
    <row r="94" spans="1:5" x14ac:dyDescent="0.3">
      <c r="A94" t="s">
        <v>5</v>
      </c>
      <c r="B94" t="s">
        <v>38</v>
      </c>
      <c r="C94" t="s">
        <v>13</v>
      </c>
      <c r="D94" s="4">
        <v>7189</v>
      </c>
      <c r="E94" s="5">
        <v>54</v>
      </c>
    </row>
    <row r="95" spans="1:5" x14ac:dyDescent="0.3">
      <c r="A95" t="s">
        <v>41</v>
      </c>
      <c r="B95" t="s">
        <v>35</v>
      </c>
      <c r="C95" t="s">
        <v>28</v>
      </c>
      <c r="D95" s="4">
        <v>7455</v>
      </c>
      <c r="E95" s="5">
        <v>216</v>
      </c>
    </row>
    <row r="96" spans="1:5" x14ac:dyDescent="0.3">
      <c r="A96" t="s">
        <v>3</v>
      </c>
      <c r="B96" t="s">
        <v>34</v>
      </c>
      <c r="C96" t="s">
        <v>26</v>
      </c>
      <c r="D96" s="4">
        <v>3108</v>
      </c>
      <c r="E96" s="5">
        <v>54</v>
      </c>
    </row>
    <row r="97" spans="1:5" x14ac:dyDescent="0.3">
      <c r="A97" t="s">
        <v>6</v>
      </c>
      <c r="B97" t="s">
        <v>38</v>
      </c>
      <c r="C97" t="s">
        <v>25</v>
      </c>
      <c r="D97" s="4">
        <v>469</v>
      </c>
      <c r="E97" s="5">
        <v>75</v>
      </c>
    </row>
    <row r="98" spans="1:5" x14ac:dyDescent="0.3">
      <c r="A98" t="s">
        <v>9</v>
      </c>
      <c r="B98" t="s">
        <v>37</v>
      </c>
      <c r="C98" t="s">
        <v>23</v>
      </c>
      <c r="D98" s="4">
        <v>2737</v>
      </c>
      <c r="E98" s="5">
        <v>93</v>
      </c>
    </row>
    <row r="99" spans="1:5" x14ac:dyDescent="0.3">
      <c r="A99" t="s">
        <v>9</v>
      </c>
      <c r="B99" t="s">
        <v>37</v>
      </c>
      <c r="C99" t="s">
        <v>25</v>
      </c>
      <c r="D99" s="4">
        <v>4305</v>
      </c>
      <c r="E99" s="5">
        <v>156</v>
      </c>
    </row>
    <row r="100" spans="1:5" x14ac:dyDescent="0.3">
      <c r="A100" t="s">
        <v>9</v>
      </c>
      <c r="B100" t="s">
        <v>38</v>
      </c>
      <c r="C100" t="s">
        <v>17</v>
      </c>
      <c r="D100" s="4">
        <v>2408</v>
      </c>
      <c r="E100" s="5">
        <v>9</v>
      </c>
    </row>
    <row r="101" spans="1:5" x14ac:dyDescent="0.3">
      <c r="A101" t="s">
        <v>3</v>
      </c>
      <c r="B101" t="s">
        <v>36</v>
      </c>
      <c r="C101" t="s">
        <v>19</v>
      </c>
      <c r="D101" s="4">
        <v>1281</v>
      </c>
      <c r="E101" s="5">
        <v>18</v>
      </c>
    </row>
    <row r="102" spans="1:5" x14ac:dyDescent="0.3">
      <c r="A102" t="s">
        <v>40</v>
      </c>
      <c r="B102" t="s">
        <v>35</v>
      </c>
      <c r="C102" t="s">
        <v>32</v>
      </c>
      <c r="D102" s="4">
        <v>12348</v>
      </c>
      <c r="E102" s="5">
        <v>234</v>
      </c>
    </row>
    <row r="103" spans="1:5" x14ac:dyDescent="0.3">
      <c r="A103" t="s">
        <v>3</v>
      </c>
      <c r="B103" t="s">
        <v>34</v>
      </c>
      <c r="C103" t="s">
        <v>28</v>
      </c>
      <c r="D103" s="4">
        <v>3689</v>
      </c>
      <c r="E103" s="5">
        <v>312</v>
      </c>
    </row>
    <row r="104" spans="1:5" x14ac:dyDescent="0.3">
      <c r="A104" t="s">
        <v>7</v>
      </c>
      <c r="B104" t="s">
        <v>36</v>
      </c>
      <c r="C104" t="s">
        <v>19</v>
      </c>
      <c r="D104" s="4">
        <v>2870</v>
      </c>
      <c r="E104" s="5">
        <v>300</v>
      </c>
    </row>
    <row r="105" spans="1:5" x14ac:dyDescent="0.3">
      <c r="A105" t="s">
        <v>2</v>
      </c>
      <c r="B105" t="s">
        <v>36</v>
      </c>
      <c r="C105" t="s">
        <v>27</v>
      </c>
      <c r="D105" s="4">
        <v>798</v>
      </c>
      <c r="E105" s="5">
        <v>519</v>
      </c>
    </row>
    <row r="106" spans="1:5" x14ac:dyDescent="0.3">
      <c r="A106" t="s">
        <v>41</v>
      </c>
      <c r="B106" t="s">
        <v>37</v>
      </c>
      <c r="C106" t="s">
        <v>21</v>
      </c>
      <c r="D106" s="4">
        <v>2933</v>
      </c>
      <c r="E106" s="5">
        <v>9</v>
      </c>
    </row>
    <row r="107" spans="1:5" x14ac:dyDescent="0.3">
      <c r="A107" t="s">
        <v>5</v>
      </c>
      <c r="B107" t="s">
        <v>35</v>
      </c>
      <c r="C107" t="s">
        <v>4</v>
      </c>
      <c r="D107" s="4">
        <v>2744</v>
      </c>
      <c r="E107" s="5">
        <v>9</v>
      </c>
    </row>
    <row r="108" spans="1:5" x14ac:dyDescent="0.3">
      <c r="A108" t="s">
        <v>40</v>
      </c>
      <c r="B108" t="s">
        <v>36</v>
      </c>
      <c r="C108" t="s">
        <v>33</v>
      </c>
      <c r="D108" s="4">
        <v>9772</v>
      </c>
      <c r="E108" s="5">
        <v>90</v>
      </c>
    </row>
    <row r="109" spans="1:5" x14ac:dyDescent="0.3">
      <c r="A109" t="s">
        <v>7</v>
      </c>
      <c r="B109" t="s">
        <v>34</v>
      </c>
      <c r="C109" t="s">
        <v>25</v>
      </c>
      <c r="D109" s="4">
        <v>1568</v>
      </c>
      <c r="E109" s="5">
        <v>96</v>
      </c>
    </row>
    <row r="110" spans="1:5" x14ac:dyDescent="0.3">
      <c r="A110" t="s">
        <v>2</v>
      </c>
      <c r="B110" t="s">
        <v>36</v>
      </c>
      <c r="C110" t="s">
        <v>16</v>
      </c>
      <c r="D110" s="4">
        <v>11417</v>
      </c>
      <c r="E110" s="5">
        <v>21</v>
      </c>
    </row>
    <row r="111" spans="1:5" x14ac:dyDescent="0.3">
      <c r="A111" t="s">
        <v>40</v>
      </c>
      <c r="B111" t="s">
        <v>34</v>
      </c>
      <c r="C111" t="s">
        <v>26</v>
      </c>
      <c r="D111" s="4">
        <v>6748</v>
      </c>
      <c r="E111" s="5">
        <v>48</v>
      </c>
    </row>
    <row r="112" spans="1:5" x14ac:dyDescent="0.3">
      <c r="A112" t="s">
        <v>10</v>
      </c>
      <c r="B112" t="s">
        <v>36</v>
      </c>
      <c r="C112" t="s">
        <v>27</v>
      </c>
      <c r="D112" s="4">
        <v>1407</v>
      </c>
      <c r="E112" s="5">
        <v>72</v>
      </c>
    </row>
    <row r="113" spans="1:5" x14ac:dyDescent="0.3">
      <c r="A113" t="s">
        <v>8</v>
      </c>
      <c r="B113" t="s">
        <v>35</v>
      </c>
      <c r="C113" t="s">
        <v>29</v>
      </c>
      <c r="D113" s="4">
        <v>2023</v>
      </c>
      <c r="E113" s="5">
        <v>168</v>
      </c>
    </row>
    <row r="114" spans="1:5" x14ac:dyDescent="0.3">
      <c r="A114" t="s">
        <v>5</v>
      </c>
      <c r="B114" t="s">
        <v>39</v>
      </c>
      <c r="C114" t="s">
        <v>26</v>
      </c>
      <c r="D114" s="4">
        <v>5236</v>
      </c>
      <c r="E114" s="5">
        <v>51</v>
      </c>
    </row>
    <row r="115" spans="1:5" x14ac:dyDescent="0.3">
      <c r="A115" t="s">
        <v>41</v>
      </c>
      <c r="B115" t="s">
        <v>36</v>
      </c>
      <c r="C115" t="s">
        <v>19</v>
      </c>
      <c r="D115" s="4">
        <v>1925</v>
      </c>
      <c r="E115" s="5">
        <v>192</v>
      </c>
    </row>
    <row r="116" spans="1:5" x14ac:dyDescent="0.3">
      <c r="A116" t="s">
        <v>7</v>
      </c>
      <c r="B116" t="s">
        <v>37</v>
      </c>
      <c r="C116" t="s">
        <v>14</v>
      </c>
      <c r="D116" s="4">
        <v>6608</v>
      </c>
      <c r="E116" s="5">
        <v>225</v>
      </c>
    </row>
    <row r="117" spans="1:5" x14ac:dyDescent="0.3">
      <c r="A117" t="s">
        <v>6</v>
      </c>
      <c r="B117" t="s">
        <v>34</v>
      </c>
      <c r="C117" t="s">
        <v>26</v>
      </c>
      <c r="D117" s="4">
        <v>8008</v>
      </c>
      <c r="E117" s="5">
        <v>456</v>
      </c>
    </row>
    <row r="118" spans="1:5" x14ac:dyDescent="0.3">
      <c r="A118" t="s">
        <v>10</v>
      </c>
      <c r="B118" t="s">
        <v>34</v>
      </c>
      <c r="C118" t="s">
        <v>25</v>
      </c>
      <c r="D118" s="4">
        <v>1428</v>
      </c>
      <c r="E118" s="5">
        <v>93</v>
      </c>
    </row>
    <row r="119" spans="1:5" x14ac:dyDescent="0.3">
      <c r="A119" t="s">
        <v>6</v>
      </c>
      <c r="B119" t="s">
        <v>34</v>
      </c>
      <c r="C119" t="s">
        <v>4</v>
      </c>
      <c r="D119" s="4">
        <v>525</v>
      </c>
      <c r="E119" s="5">
        <v>48</v>
      </c>
    </row>
    <row r="120" spans="1:5" x14ac:dyDescent="0.3">
      <c r="A120" t="s">
        <v>6</v>
      </c>
      <c r="B120" t="s">
        <v>37</v>
      </c>
      <c r="C120" t="s">
        <v>18</v>
      </c>
      <c r="D120" s="4">
        <v>1505</v>
      </c>
      <c r="E120" s="5">
        <v>102</v>
      </c>
    </row>
    <row r="121" spans="1:5" x14ac:dyDescent="0.3">
      <c r="A121" t="s">
        <v>7</v>
      </c>
      <c r="B121" t="s">
        <v>35</v>
      </c>
      <c r="C121" t="s">
        <v>30</v>
      </c>
      <c r="D121" s="4">
        <v>6755</v>
      </c>
      <c r="E121" s="5">
        <v>252</v>
      </c>
    </row>
    <row r="122" spans="1:5" x14ac:dyDescent="0.3">
      <c r="A122" t="s">
        <v>2</v>
      </c>
      <c r="B122" t="s">
        <v>37</v>
      </c>
      <c r="C122" t="s">
        <v>18</v>
      </c>
      <c r="D122" s="4">
        <v>11571</v>
      </c>
      <c r="E122" s="5">
        <v>138</v>
      </c>
    </row>
    <row r="123" spans="1:5" x14ac:dyDescent="0.3">
      <c r="A123" t="s">
        <v>40</v>
      </c>
      <c r="B123" t="s">
        <v>38</v>
      </c>
      <c r="C123" t="s">
        <v>25</v>
      </c>
      <c r="D123" s="4">
        <v>2541</v>
      </c>
      <c r="E123" s="5">
        <v>90</v>
      </c>
    </row>
    <row r="124" spans="1:5" x14ac:dyDescent="0.3">
      <c r="A124" t="s">
        <v>41</v>
      </c>
      <c r="B124" t="s">
        <v>37</v>
      </c>
      <c r="C124" t="s">
        <v>30</v>
      </c>
      <c r="D124" s="4">
        <v>1526</v>
      </c>
      <c r="E124" s="5">
        <v>240</v>
      </c>
    </row>
    <row r="125" spans="1:5" x14ac:dyDescent="0.3">
      <c r="A125" t="s">
        <v>40</v>
      </c>
      <c r="B125" t="s">
        <v>38</v>
      </c>
      <c r="C125" t="s">
        <v>4</v>
      </c>
      <c r="D125" s="4">
        <v>6125</v>
      </c>
      <c r="E125" s="5">
        <v>102</v>
      </c>
    </row>
    <row r="126" spans="1:5" x14ac:dyDescent="0.3">
      <c r="A126" t="s">
        <v>41</v>
      </c>
      <c r="B126" t="s">
        <v>35</v>
      </c>
      <c r="C126" t="s">
        <v>27</v>
      </c>
      <c r="D126" s="4">
        <v>847</v>
      </c>
      <c r="E126" s="5">
        <v>129</v>
      </c>
    </row>
    <row r="127" spans="1:5" x14ac:dyDescent="0.3">
      <c r="A127" t="s">
        <v>8</v>
      </c>
      <c r="B127" t="s">
        <v>35</v>
      </c>
      <c r="C127" t="s">
        <v>27</v>
      </c>
      <c r="D127" s="4">
        <v>4753</v>
      </c>
      <c r="E127" s="5">
        <v>300</v>
      </c>
    </row>
    <row r="128" spans="1:5" x14ac:dyDescent="0.3">
      <c r="A128" t="s">
        <v>6</v>
      </c>
      <c r="B128" t="s">
        <v>38</v>
      </c>
      <c r="C128" t="s">
        <v>33</v>
      </c>
      <c r="D128" s="4">
        <v>959</v>
      </c>
      <c r="E128" s="5">
        <v>135</v>
      </c>
    </row>
    <row r="129" spans="1:5" x14ac:dyDescent="0.3">
      <c r="A129" t="s">
        <v>7</v>
      </c>
      <c r="B129" t="s">
        <v>35</v>
      </c>
      <c r="C129" t="s">
        <v>24</v>
      </c>
      <c r="D129" s="4">
        <v>2793</v>
      </c>
      <c r="E129" s="5">
        <v>114</v>
      </c>
    </row>
    <row r="130" spans="1:5" x14ac:dyDescent="0.3">
      <c r="A130" t="s">
        <v>7</v>
      </c>
      <c r="B130" t="s">
        <v>35</v>
      </c>
      <c r="C130" t="s">
        <v>14</v>
      </c>
      <c r="D130" s="4">
        <v>4606</v>
      </c>
      <c r="E130" s="5">
        <v>63</v>
      </c>
    </row>
    <row r="131" spans="1:5" x14ac:dyDescent="0.3">
      <c r="A131" t="s">
        <v>7</v>
      </c>
      <c r="B131" t="s">
        <v>36</v>
      </c>
      <c r="C131" t="s">
        <v>29</v>
      </c>
      <c r="D131" s="4">
        <v>5551</v>
      </c>
      <c r="E131" s="5">
        <v>252</v>
      </c>
    </row>
    <row r="132" spans="1:5" x14ac:dyDescent="0.3">
      <c r="A132" t="s">
        <v>10</v>
      </c>
      <c r="B132" t="s">
        <v>36</v>
      </c>
      <c r="C132" t="s">
        <v>32</v>
      </c>
      <c r="D132" s="4">
        <v>6657</v>
      </c>
      <c r="E132" s="5">
        <v>303</v>
      </c>
    </row>
    <row r="133" spans="1:5" x14ac:dyDescent="0.3">
      <c r="A133" t="s">
        <v>7</v>
      </c>
      <c r="B133" t="s">
        <v>39</v>
      </c>
      <c r="C133" t="s">
        <v>17</v>
      </c>
      <c r="D133" s="4">
        <v>4438</v>
      </c>
      <c r="E133" s="5">
        <v>246</v>
      </c>
    </row>
    <row r="134" spans="1:5" x14ac:dyDescent="0.3">
      <c r="A134" t="s">
        <v>8</v>
      </c>
      <c r="B134" t="s">
        <v>38</v>
      </c>
      <c r="C134" t="s">
        <v>22</v>
      </c>
      <c r="D134" s="4">
        <v>168</v>
      </c>
      <c r="E134" s="5">
        <v>84</v>
      </c>
    </row>
    <row r="135" spans="1:5" x14ac:dyDescent="0.3">
      <c r="A135" t="s">
        <v>7</v>
      </c>
      <c r="B135" t="s">
        <v>34</v>
      </c>
      <c r="C135" t="s">
        <v>17</v>
      </c>
      <c r="D135" s="4">
        <v>7777</v>
      </c>
      <c r="E135" s="5">
        <v>39</v>
      </c>
    </row>
    <row r="136" spans="1:5" x14ac:dyDescent="0.3">
      <c r="A136" t="s">
        <v>5</v>
      </c>
      <c r="B136" t="s">
        <v>36</v>
      </c>
      <c r="C136" t="s">
        <v>17</v>
      </c>
      <c r="D136" s="4">
        <v>3339</v>
      </c>
      <c r="E136" s="5">
        <v>348</v>
      </c>
    </row>
    <row r="137" spans="1:5" x14ac:dyDescent="0.3">
      <c r="A137" t="s">
        <v>7</v>
      </c>
      <c r="B137" t="s">
        <v>37</v>
      </c>
      <c r="C137" t="s">
        <v>33</v>
      </c>
      <c r="D137" s="4">
        <v>6391</v>
      </c>
      <c r="E137" s="5">
        <v>48</v>
      </c>
    </row>
    <row r="138" spans="1:5" x14ac:dyDescent="0.3">
      <c r="A138" t="s">
        <v>5</v>
      </c>
      <c r="B138" t="s">
        <v>37</v>
      </c>
      <c r="C138" t="s">
        <v>22</v>
      </c>
      <c r="D138" s="4">
        <v>518</v>
      </c>
      <c r="E138" s="5">
        <v>75</v>
      </c>
    </row>
    <row r="139" spans="1:5" x14ac:dyDescent="0.3">
      <c r="A139" t="s">
        <v>7</v>
      </c>
      <c r="B139" t="s">
        <v>38</v>
      </c>
      <c r="C139" t="s">
        <v>28</v>
      </c>
      <c r="D139" s="4">
        <v>5677</v>
      </c>
      <c r="E139" s="5">
        <v>258</v>
      </c>
    </row>
    <row r="140" spans="1:5" x14ac:dyDescent="0.3">
      <c r="A140" t="s">
        <v>6</v>
      </c>
      <c r="B140" t="s">
        <v>39</v>
      </c>
      <c r="C140" t="s">
        <v>17</v>
      </c>
      <c r="D140" s="4">
        <v>6048</v>
      </c>
      <c r="E140" s="5">
        <v>27</v>
      </c>
    </row>
    <row r="141" spans="1:5" x14ac:dyDescent="0.3">
      <c r="A141" t="s">
        <v>8</v>
      </c>
      <c r="B141" t="s">
        <v>38</v>
      </c>
      <c r="C141" t="s">
        <v>32</v>
      </c>
      <c r="D141" s="4">
        <v>3752</v>
      </c>
      <c r="E141" s="5">
        <v>213</v>
      </c>
    </row>
    <row r="142" spans="1:5" x14ac:dyDescent="0.3">
      <c r="A142" t="s">
        <v>5</v>
      </c>
      <c r="B142" t="s">
        <v>35</v>
      </c>
      <c r="C142" t="s">
        <v>29</v>
      </c>
      <c r="D142" s="4">
        <v>4480</v>
      </c>
      <c r="E142" s="5">
        <v>357</v>
      </c>
    </row>
    <row r="143" spans="1:5" x14ac:dyDescent="0.3">
      <c r="A143" t="s">
        <v>9</v>
      </c>
      <c r="B143" t="s">
        <v>37</v>
      </c>
      <c r="C143" t="s">
        <v>4</v>
      </c>
      <c r="D143" s="4">
        <v>259</v>
      </c>
      <c r="E143" s="5">
        <v>207</v>
      </c>
    </row>
    <row r="144" spans="1:5" x14ac:dyDescent="0.3">
      <c r="A144" t="s">
        <v>8</v>
      </c>
      <c r="B144" t="s">
        <v>37</v>
      </c>
      <c r="C144" t="s">
        <v>30</v>
      </c>
      <c r="D144" s="4">
        <v>42</v>
      </c>
      <c r="E144" s="5">
        <v>150</v>
      </c>
    </row>
    <row r="145" spans="1:5" x14ac:dyDescent="0.3">
      <c r="A145" t="s">
        <v>41</v>
      </c>
      <c r="B145" t="s">
        <v>36</v>
      </c>
      <c r="C145" t="s">
        <v>26</v>
      </c>
      <c r="D145" s="4">
        <v>98</v>
      </c>
      <c r="E145" s="5">
        <v>204</v>
      </c>
    </row>
    <row r="146" spans="1:5" x14ac:dyDescent="0.3">
      <c r="A146" t="s">
        <v>7</v>
      </c>
      <c r="B146" t="s">
        <v>35</v>
      </c>
      <c r="C146" t="s">
        <v>27</v>
      </c>
      <c r="D146" s="4">
        <v>2478</v>
      </c>
      <c r="E146" s="5">
        <v>21</v>
      </c>
    </row>
    <row r="147" spans="1:5" x14ac:dyDescent="0.3">
      <c r="A147" t="s">
        <v>41</v>
      </c>
      <c r="B147" t="s">
        <v>34</v>
      </c>
      <c r="C147" t="s">
        <v>33</v>
      </c>
      <c r="D147" s="4">
        <v>7847</v>
      </c>
      <c r="E147" s="5">
        <v>174</v>
      </c>
    </row>
    <row r="148" spans="1:5" x14ac:dyDescent="0.3">
      <c r="A148" t="s">
        <v>2</v>
      </c>
      <c r="B148" t="s">
        <v>37</v>
      </c>
      <c r="C148" t="s">
        <v>17</v>
      </c>
      <c r="D148" s="4">
        <v>9926</v>
      </c>
      <c r="E148" s="5">
        <v>201</v>
      </c>
    </row>
    <row r="149" spans="1:5" x14ac:dyDescent="0.3">
      <c r="A149" t="s">
        <v>8</v>
      </c>
      <c r="B149" t="s">
        <v>38</v>
      </c>
      <c r="C149" t="s">
        <v>13</v>
      </c>
      <c r="D149" s="4">
        <v>819</v>
      </c>
      <c r="E149" s="5">
        <v>510</v>
      </c>
    </row>
    <row r="150" spans="1:5" x14ac:dyDescent="0.3">
      <c r="A150" t="s">
        <v>6</v>
      </c>
      <c r="B150" t="s">
        <v>39</v>
      </c>
      <c r="C150" t="s">
        <v>29</v>
      </c>
      <c r="D150" s="4">
        <v>3052</v>
      </c>
      <c r="E150" s="5">
        <v>378</v>
      </c>
    </row>
    <row r="151" spans="1:5" x14ac:dyDescent="0.3">
      <c r="A151" t="s">
        <v>9</v>
      </c>
      <c r="B151" t="s">
        <v>34</v>
      </c>
      <c r="C151" t="s">
        <v>21</v>
      </c>
      <c r="D151" s="4">
        <v>6832</v>
      </c>
      <c r="E151" s="5">
        <v>27</v>
      </c>
    </row>
    <row r="152" spans="1:5" x14ac:dyDescent="0.3">
      <c r="A152" t="s">
        <v>2</v>
      </c>
      <c r="B152" t="s">
        <v>39</v>
      </c>
      <c r="C152" t="s">
        <v>16</v>
      </c>
      <c r="D152" s="4">
        <v>2016</v>
      </c>
      <c r="E152" s="5">
        <v>117</v>
      </c>
    </row>
    <row r="153" spans="1:5" x14ac:dyDescent="0.3">
      <c r="A153" t="s">
        <v>6</v>
      </c>
      <c r="B153" t="s">
        <v>38</v>
      </c>
      <c r="C153" t="s">
        <v>21</v>
      </c>
      <c r="D153" s="4">
        <v>7322</v>
      </c>
      <c r="E153" s="5">
        <v>36</v>
      </c>
    </row>
    <row r="154" spans="1:5" x14ac:dyDescent="0.3">
      <c r="A154" t="s">
        <v>8</v>
      </c>
      <c r="B154" t="s">
        <v>35</v>
      </c>
      <c r="C154" t="s">
        <v>33</v>
      </c>
      <c r="D154" s="4">
        <v>357</v>
      </c>
      <c r="E154" s="5">
        <v>126</v>
      </c>
    </row>
    <row r="155" spans="1:5" x14ac:dyDescent="0.3">
      <c r="A155" t="s">
        <v>9</v>
      </c>
      <c r="B155" t="s">
        <v>39</v>
      </c>
      <c r="C155" t="s">
        <v>25</v>
      </c>
      <c r="D155" s="4">
        <v>3192</v>
      </c>
      <c r="E155" s="5">
        <v>72</v>
      </c>
    </row>
    <row r="156" spans="1:5" x14ac:dyDescent="0.3">
      <c r="A156" t="s">
        <v>7</v>
      </c>
      <c r="B156" t="s">
        <v>36</v>
      </c>
      <c r="C156" t="s">
        <v>22</v>
      </c>
      <c r="D156" s="4">
        <v>8435</v>
      </c>
      <c r="E156" s="5">
        <v>42</v>
      </c>
    </row>
    <row r="157" spans="1:5" x14ac:dyDescent="0.3">
      <c r="A157" t="s">
        <v>40</v>
      </c>
      <c r="B157" t="s">
        <v>39</v>
      </c>
      <c r="C157" t="s">
        <v>29</v>
      </c>
      <c r="D157" s="4">
        <v>0</v>
      </c>
      <c r="E157" s="5">
        <v>135</v>
      </c>
    </row>
    <row r="158" spans="1:5" x14ac:dyDescent="0.3">
      <c r="A158" t="s">
        <v>7</v>
      </c>
      <c r="B158" t="s">
        <v>34</v>
      </c>
      <c r="C158" t="s">
        <v>24</v>
      </c>
      <c r="D158" s="4">
        <v>8862</v>
      </c>
      <c r="E158" s="5">
        <v>189</v>
      </c>
    </row>
    <row r="159" spans="1:5" x14ac:dyDescent="0.3">
      <c r="A159" t="s">
        <v>6</v>
      </c>
      <c r="B159" t="s">
        <v>37</v>
      </c>
      <c r="C159" t="s">
        <v>28</v>
      </c>
      <c r="D159" s="4">
        <v>3556</v>
      </c>
      <c r="E159" s="5">
        <v>459</v>
      </c>
    </row>
    <row r="160" spans="1:5" x14ac:dyDescent="0.3">
      <c r="A160" t="s">
        <v>5</v>
      </c>
      <c r="B160" t="s">
        <v>34</v>
      </c>
      <c r="C160" t="s">
        <v>15</v>
      </c>
      <c r="D160" s="4">
        <v>7280</v>
      </c>
      <c r="E160" s="5">
        <v>201</v>
      </c>
    </row>
    <row r="161" spans="1:5" x14ac:dyDescent="0.3">
      <c r="A161" t="s">
        <v>6</v>
      </c>
      <c r="B161" t="s">
        <v>34</v>
      </c>
      <c r="C161" t="s">
        <v>30</v>
      </c>
      <c r="D161" s="4">
        <v>3402</v>
      </c>
      <c r="E161" s="5">
        <v>366</v>
      </c>
    </row>
    <row r="162" spans="1:5" x14ac:dyDescent="0.3">
      <c r="A162" t="s">
        <v>3</v>
      </c>
      <c r="B162" t="s">
        <v>37</v>
      </c>
      <c r="C162" t="s">
        <v>29</v>
      </c>
      <c r="D162" s="4">
        <v>4592</v>
      </c>
      <c r="E162" s="5">
        <v>324</v>
      </c>
    </row>
    <row r="163" spans="1:5" x14ac:dyDescent="0.3">
      <c r="A163" t="s">
        <v>9</v>
      </c>
      <c r="B163" t="s">
        <v>35</v>
      </c>
      <c r="C163" t="s">
        <v>15</v>
      </c>
      <c r="D163" s="4">
        <v>7833</v>
      </c>
      <c r="E163" s="5">
        <v>243</v>
      </c>
    </row>
    <row r="164" spans="1:5" x14ac:dyDescent="0.3">
      <c r="A164" t="s">
        <v>2</v>
      </c>
      <c r="B164" t="s">
        <v>39</v>
      </c>
      <c r="C164" t="s">
        <v>21</v>
      </c>
      <c r="D164" s="4">
        <v>7651</v>
      </c>
      <c r="E164" s="5">
        <v>213</v>
      </c>
    </row>
    <row r="165" spans="1:5" x14ac:dyDescent="0.3">
      <c r="A165" t="s">
        <v>40</v>
      </c>
      <c r="B165" t="s">
        <v>35</v>
      </c>
      <c r="C165" t="s">
        <v>30</v>
      </c>
      <c r="D165" s="4">
        <v>2275</v>
      </c>
      <c r="E165" s="5">
        <v>447</v>
      </c>
    </row>
    <row r="166" spans="1:5" x14ac:dyDescent="0.3">
      <c r="A166" t="s">
        <v>40</v>
      </c>
      <c r="B166" t="s">
        <v>38</v>
      </c>
      <c r="C166" t="s">
        <v>13</v>
      </c>
      <c r="D166" s="4">
        <v>5670</v>
      </c>
      <c r="E166" s="5">
        <v>297</v>
      </c>
    </row>
    <row r="167" spans="1:5" x14ac:dyDescent="0.3">
      <c r="A167" t="s">
        <v>7</v>
      </c>
      <c r="B167" t="s">
        <v>35</v>
      </c>
      <c r="C167" t="s">
        <v>16</v>
      </c>
      <c r="D167" s="4">
        <v>2135</v>
      </c>
      <c r="E167" s="5">
        <v>27</v>
      </c>
    </row>
    <row r="168" spans="1:5" x14ac:dyDescent="0.3">
      <c r="A168" t="s">
        <v>40</v>
      </c>
      <c r="B168" t="s">
        <v>34</v>
      </c>
      <c r="C168" t="s">
        <v>23</v>
      </c>
      <c r="D168" s="4">
        <v>2779</v>
      </c>
      <c r="E168" s="5">
        <v>75</v>
      </c>
    </row>
    <row r="169" spans="1:5" x14ac:dyDescent="0.3">
      <c r="A169" t="s">
        <v>10</v>
      </c>
      <c r="B169" t="s">
        <v>39</v>
      </c>
      <c r="C169" t="s">
        <v>33</v>
      </c>
      <c r="D169" s="4">
        <v>12950</v>
      </c>
      <c r="E169" s="5">
        <v>30</v>
      </c>
    </row>
    <row r="170" spans="1:5" x14ac:dyDescent="0.3">
      <c r="A170" t="s">
        <v>7</v>
      </c>
      <c r="B170" t="s">
        <v>36</v>
      </c>
      <c r="C170" t="s">
        <v>18</v>
      </c>
      <c r="D170" s="4">
        <v>2646</v>
      </c>
      <c r="E170" s="5">
        <v>177</v>
      </c>
    </row>
    <row r="171" spans="1:5" x14ac:dyDescent="0.3">
      <c r="A171" t="s">
        <v>40</v>
      </c>
      <c r="B171" t="s">
        <v>34</v>
      </c>
      <c r="C171" t="s">
        <v>33</v>
      </c>
      <c r="D171" s="4">
        <v>3794</v>
      </c>
      <c r="E171" s="5">
        <v>159</v>
      </c>
    </row>
    <row r="172" spans="1:5" x14ac:dyDescent="0.3">
      <c r="A172" t="s">
        <v>3</v>
      </c>
      <c r="B172" t="s">
        <v>35</v>
      </c>
      <c r="C172" t="s">
        <v>33</v>
      </c>
      <c r="D172" s="4">
        <v>819</v>
      </c>
      <c r="E172" s="5">
        <v>306</v>
      </c>
    </row>
    <row r="173" spans="1:5" x14ac:dyDescent="0.3">
      <c r="A173" t="s">
        <v>3</v>
      </c>
      <c r="B173" t="s">
        <v>34</v>
      </c>
      <c r="C173" t="s">
        <v>20</v>
      </c>
      <c r="D173" s="4">
        <v>2583</v>
      </c>
      <c r="E173" s="5">
        <v>18</v>
      </c>
    </row>
    <row r="174" spans="1:5" x14ac:dyDescent="0.3">
      <c r="A174" t="s">
        <v>7</v>
      </c>
      <c r="B174" t="s">
        <v>35</v>
      </c>
      <c r="C174" t="s">
        <v>19</v>
      </c>
      <c r="D174" s="4">
        <v>4585</v>
      </c>
      <c r="E174" s="5">
        <v>240</v>
      </c>
    </row>
    <row r="175" spans="1:5" x14ac:dyDescent="0.3">
      <c r="A175" t="s">
        <v>5</v>
      </c>
      <c r="B175" t="s">
        <v>34</v>
      </c>
      <c r="C175" t="s">
        <v>33</v>
      </c>
      <c r="D175" s="4">
        <v>1652</v>
      </c>
      <c r="E175" s="5">
        <v>93</v>
      </c>
    </row>
    <row r="176" spans="1:5" x14ac:dyDescent="0.3">
      <c r="A176" t="s">
        <v>10</v>
      </c>
      <c r="B176" t="s">
        <v>34</v>
      </c>
      <c r="C176" t="s">
        <v>26</v>
      </c>
      <c r="D176" s="4">
        <v>4991</v>
      </c>
      <c r="E176" s="5">
        <v>9</v>
      </c>
    </row>
    <row r="177" spans="1:5" x14ac:dyDescent="0.3">
      <c r="A177" t="s">
        <v>8</v>
      </c>
      <c r="B177" t="s">
        <v>34</v>
      </c>
      <c r="C177" t="s">
        <v>16</v>
      </c>
      <c r="D177" s="4">
        <v>2009</v>
      </c>
      <c r="E177" s="5">
        <v>219</v>
      </c>
    </row>
    <row r="178" spans="1:5" x14ac:dyDescent="0.3">
      <c r="A178" t="s">
        <v>2</v>
      </c>
      <c r="B178" t="s">
        <v>39</v>
      </c>
      <c r="C178" t="s">
        <v>22</v>
      </c>
      <c r="D178" s="4">
        <v>1568</v>
      </c>
      <c r="E178" s="5">
        <v>141</v>
      </c>
    </row>
    <row r="179" spans="1:5" x14ac:dyDescent="0.3">
      <c r="A179" t="s">
        <v>41</v>
      </c>
      <c r="B179" t="s">
        <v>37</v>
      </c>
      <c r="C179" t="s">
        <v>20</v>
      </c>
      <c r="D179" s="4">
        <v>3388</v>
      </c>
      <c r="E179" s="5">
        <v>123</v>
      </c>
    </row>
    <row r="180" spans="1:5" x14ac:dyDescent="0.3">
      <c r="A180" t="s">
        <v>40</v>
      </c>
      <c r="B180" t="s">
        <v>38</v>
      </c>
      <c r="C180" t="s">
        <v>24</v>
      </c>
      <c r="D180" s="4">
        <v>623</v>
      </c>
      <c r="E180" s="5">
        <v>51</v>
      </c>
    </row>
    <row r="181" spans="1:5" x14ac:dyDescent="0.3">
      <c r="A181" t="s">
        <v>6</v>
      </c>
      <c r="B181" t="s">
        <v>36</v>
      </c>
      <c r="C181" t="s">
        <v>4</v>
      </c>
      <c r="D181" s="4">
        <v>10073</v>
      </c>
      <c r="E181" s="5">
        <v>120</v>
      </c>
    </row>
    <row r="182" spans="1:5" x14ac:dyDescent="0.3">
      <c r="A182" t="s">
        <v>8</v>
      </c>
      <c r="B182" t="s">
        <v>39</v>
      </c>
      <c r="C182" t="s">
        <v>26</v>
      </c>
      <c r="D182" s="4">
        <v>1561</v>
      </c>
      <c r="E182" s="5">
        <v>27</v>
      </c>
    </row>
    <row r="183" spans="1:5" x14ac:dyDescent="0.3">
      <c r="A183" t="s">
        <v>9</v>
      </c>
      <c r="B183" t="s">
        <v>36</v>
      </c>
      <c r="C183" t="s">
        <v>27</v>
      </c>
      <c r="D183" s="4">
        <v>11522</v>
      </c>
      <c r="E183" s="5">
        <v>204</v>
      </c>
    </row>
    <row r="184" spans="1:5" x14ac:dyDescent="0.3">
      <c r="A184" t="s">
        <v>6</v>
      </c>
      <c r="B184" t="s">
        <v>38</v>
      </c>
      <c r="C184" t="s">
        <v>13</v>
      </c>
      <c r="D184" s="4">
        <v>2317</v>
      </c>
      <c r="E184" s="5">
        <v>123</v>
      </c>
    </row>
    <row r="185" spans="1:5" x14ac:dyDescent="0.3">
      <c r="A185" t="s">
        <v>10</v>
      </c>
      <c r="B185" t="s">
        <v>37</v>
      </c>
      <c r="C185" t="s">
        <v>28</v>
      </c>
      <c r="D185" s="4">
        <v>3059</v>
      </c>
      <c r="E185" s="5">
        <v>27</v>
      </c>
    </row>
    <row r="186" spans="1:5" x14ac:dyDescent="0.3">
      <c r="A186" t="s">
        <v>41</v>
      </c>
      <c r="B186" t="s">
        <v>37</v>
      </c>
      <c r="C186" t="s">
        <v>26</v>
      </c>
      <c r="D186" s="4">
        <v>2324</v>
      </c>
      <c r="E186" s="5">
        <v>177</v>
      </c>
    </row>
    <row r="187" spans="1:5" x14ac:dyDescent="0.3">
      <c r="A187" t="s">
        <v>3</v>
      </c>
      <c r="B187" t="s">
        <v>39</v>
      </c>
      <c r="C187" t="s">
        <v>26</v>
      </c>
      <c r="D187" s="4">
        <v>4956</v>
      </c>
      <c r="E187" s="5">
        <v>171</v>
      </c>
    </row>
    <row r="188" spans="1:5" x14ac:dyDescent="0.3">
      <c r="A188" t="s">
        <v>10</v>
      </c>
      <c r="B188" t="s">
        <v>34</v>
      </c>
      <c r="C188" t="s">
        <v>19</v>
      </c>
      <c r="D188" s="4">
        <v>5355</v>
      </c>
      <c r="E188" s="5">
        <v>204</v>
      </c>
    </row>
    <row r="189" spans="1:5" x14ac:dyDescent="0.3">
      <c r="A189" t="s">
        <v>3</v>
      </c>
      <c r="B189" t="s">
        <v>34</v>
      </c>
      <c r="C189" t="s">
        <v>14</v>
      </c>
      <c r="D189" s="4">
        <v>7259</v>
      </c>
      <c r="E189" s="5">
        <v>276</v>
      </c>
    </row>
    <row r="190" spans="1:5" x14ac:dyDescent="0.3">
      <c r="A190" t="s">
        <v>8</v>
      </c>
      <c r="B190" t="s">
        <v>37</v>
      </c>
      <c r="C190" t="s">
        <v>26</v>
      </c>
      <c r="D190" s="4">
        <v>6279</v>
      </c>
      <c r="E190" s="5">
        <v>45</v>
      </c>
    </row>
    <row r="191" spans="1:5" x14ac:dyDescent="0.3">
      <c r="A191" t="s">
        <v>40</v>
      </c>
      <c r="B191" t="s">
        <v>38</v>
      </c>
      <c r="C191" t="s">
        <v>29</v>
      </c>
      <c r="D191" s="4">
        <v>2541</v>
      </c>
      <c r="E191" s="5">
        <v>45</v>
      </c>
    </row>
    <row r="192" spans="1:5" x14ac:dyDescent="0.3">
      <c r="A192" t="s">
        <v>6</v>
      </c>
      <c r="B192" t="s">
        <v>35</v>
      </c>
      <c r="C192" t="s">
        <v>27</v>
      </c>
      <c r="D192" s="4">
        <v>3864</v>
      </c>
      <c r="E192" s="5">
        <v>177</v>
      </c>
    </row>
    <row r="193" spans="1:5" x14ac:dyDescent="0.3">
      <c r="A193" t="s">
        <v>5</v>
      </c>
      <c r="B193" t="s">
        <v>36</v>
      </c>
      <c r="C193" t="s">
        <v>13</v>
      </c>
      <c r="D193" s="4">
        <v>6146</v>
      </c>
      <c r="E193" s="5">
        <v>63</v>
      </c>
    </row>
    <row r="194" spans="1:5" x14ac:dyDescent="0.3">
      <c r="A194" t="s">
        <v>9</v>
      </c>
      <c r="B194" t="s">
        <v>39</v>
      </c>
      <c r="C194" t="s">
        <v>18</v>
      </c>
      <c r="D194" s="4">
        <v>2639</v>
      </c>
      <c r="E194" s="5">
        <v>204</v>
      </c>
    </row>
    <row r="195" spans="1:5" x14ac:dyDescent="0.3">
      <c r="A195" t="s">
        <v>8</v>
      </c>
      <c r="B195" t="s">
        <v>37</v>
      </c>
      <c r="C195" t="s">
        <v>22</v>
      </c>
      <c r="D195" s="4">
        <v>1890</v>
      </c>
      <c r="E195" s="5">
        <v>195</v>
      </c>
    </row>
    <row r="196" spans="1:5" x14ac:dyDescent="0.3">
      <c r="A196" t="s">
        <v>7</v>
      </c>
      <c r="B196" t="s">
        <v>34</v>
      </c>
      <c r="C196" t="s">
        <v>14</v>
      </c>
      <c r="D196" s="4">
        <v>1932</v>
      </c>
      <c r="E196" s="5">
        <v>369</v>
      </c>
    </row>
    <row r="197" spans="1:5" x14ac:dyDescent="0.3">
      <c r="A197" t="s">
        <v>3</v>
      </c>
      <c r="B197" t="s">
        <v>34</v>
      </c>
      <c r="C197" t="s">
        <v>25</v>
      </c>
      <c r="D197" s="4">
        <v>6300</v>
      </c>
      <c r="E197" s="5">
        <v>42</v>
      </c>
    </row>
    <row r="198" spans="1:5" x14ac:dyDescent="0.3">
      <c r="A198" t="s">
        <v>6</v>
      </c>
      <c r="B198" t="s">
        <v>37</v>
      </c>
      <c r="C198" t="s">
        <v>30</v>
      </c>
      <c r="D198" s="4">
        <v>560</v>
      </c>
      <c r="E198" s="5">
        <v>81</v>
      </c>
    </row>
    <row r="199" spans="1:5" x14ac:dyDescent="0.3">
      <c r="A199" t="s">
        <v>9</v>
      </c>
      <c r="B199" t="s">
        <v>37</v>
      </c>
      <c r="C199" t="s">
        <v>26</v>
      </c>
      <c r="D199" s="4">
        <v>2856</v>
      </c>
      <c r="E199" s="5">
        <v>246</v>
      </c>
    </row>
    <row r="200" spans="1:5" x14ac:dyDescent="0.3">
      <c r="A200" t="s">
        <v>9</v>
      </c>
      <c r="B200" t="s">
        <v>34</v>
      </c>
      <c r="C200" t="s">
        <v>17</v>
      </c>
      <c r="D200" s="4">
        <v>707</v>
      </c>
      <c r="E200" s="5">
        <v>174</v>
      </c>
    </row>
    <row r="201" spans="1:5" x14ac:dyDescent="0.3">
      <c r="A201" t="s">
        <v>8</v>
      </c>
      <c r="B201" t="s">
        <v>35</v>
      </c>
      <c r="C201" t="s">
        <v>30</v>
      </c>
      <c r="D201" s="4">
        <v>3598</v>
      </c>
      <c r="E201" s="5">
        <v>81</v>
      </c>
    </row>
    <row r="202" spans="1:5" x14ac:dyDescent="0.3">
      <c r="A202" t="s">
        <v>40</v>
      </c>
      <c r="B202" t="s">
        <v>35</v>
      </c>
      <c r="C202" t="s">
        <v>22</v>
      </c>
      <c r="D202" s="4">
        <v>6853</v>
      </c>
      <c r="E202" s="5">
        <v>372</v>
      </c>
    </row>
    <row r="203" spans="1:5" x14ac:dyDescent="0.3">
      <c r="A203" t="s">
        <v>40</v>
      </c>
      <c r="B203" t="s">
        <v>35</v>
      </c>
      <c r="C203" t="s">
        <v>16</v>
      </c>
      <c r="D203" s="4">
        <v>4725</v>
      </c>
      <c r="E203" s="5">
        <v>174</v>
      </c>
    </row>
    <row r="204" spans="1:5" x14ac:dyDescent="0.3">
      <c r="A204" t="s">
        <v>41</v>
      </c>
      <c r="B204" t="s">
        <v>36</v>
      </c>
      <c r="C204" t="s">
        <v>32</v>
      </c>
      <c r="D204" s="4">
        <v>10304</v>
      </c>
      <c r="E204" s="5">
        <v>84</v>
      </c>
    </row>
    <row r="205" spans="1:5" x14ac:dyDescent="0.3">
      <c r="A205" t="s">
        <v>41</v>
      </c>
      <c r="B205" t="s">
        <v>34</v>
      </c>
      <c r="C205" t="s">
        <v>16</v>
      </c>
      <c r="D205" s="4">
        <v>1274</v>
      </c>
      <c r="E205" s="5">
        <v>225</v>
      </c>
    </row>
    <row r="206" spans="1:5" x14ac:dyDescent="0.3">
      <c r="A206" t="s">
        <v>5</v>
      </c>
      <c r="B206" t="s">
        <v>36</v>
      </c>
      <c r="C206" t="s">
        <v>30</v>
      </c>
      <c r="D206" s="4">
        <v>1526</v>
      </c>
      <c r="E206" s="5">
        <v>105</v>
      </c>
    </row>
    <row r="207" spans="1:5" x14ac:dyDescent="0.3">
      <c r="A207" t="s">
        <v>40</v>
      </c>
      <c r="B207" t="s">
        <v>39</v>
      </c>
      <c r="C207" t="s">
        <v>28</v>
      </c>
      <c r="D207" s="4">
        <v>3101</v>
      </c>
      <c r="E207" s="5">
        <v>225</v>
      </c>
    </row>
    <row r="208" spans="1:5" x14ac:dyDescent="0.3">
      <c r="A208" t="s">
        <v>2</v>
      </c>
      <c r="B208" t="s">
        <v>37</v>
      </c>
      <c r="C208" t="s">
        <v>14</v>
      </c>
      <c r="D208" s="4">
        <v>1057</v>
      </c>
      <c r="E208" s="5">
        <v>54</v>
      </c>
    </row>
    <row r="209" spans="1:5" x14ac:dyDescent="0.3">
      <c r="A209" t="s">
        <v>7</v>
      </c>
      <c r="B209" t="s">
        <v>37</v>
      </c>
      <c r="C209" t="s">
        <v>26</v>
      </c>
      <c r="D209" s="4">
        <v>5306</v>
      </c>
      <c r="E209" s="5">
        <v>0</v>
      </c>
    </row>
    <row r="210" spans="1:5" x14ac:dyDescent="0.3">
      <c r="A210" t="s">
        <v>5</v>
      </c>
      <c r="B210" t="s">
        <v>39</v>
      </c>
      <c r="C210" t="s">
        <v>24</v>
      </c>
      <c r="D210" s="4">
        <v>4018</v>
      </c>
      <c r="E210" s="5">
        <v>171</v>
      </c>
    </row>
    <row r="211" spans="1:5" x14ac:dyDescent="0.3">
      <c r="A211" t="s">
        <v>9</v>
      </c>
      <c r="B211" t="s">
        <v>34</v>
      </c>
      <c r="C211" t="s">
        <v>16</v>
      </c>
      <c r="D211" s="4">
        <v>938</v>
      </c>
      <c r="E211" s="5">
        <v>189</v>
      </c>
    </row>
    <row r="212" spans="1:5" x14ac:dyDescent="0.3">
      <c r="A212" t="s">
        <v>7</v>
      </c>
      <c r="B212" t="s">
        <v>38</v>
      </c>
      <c r="C212" t="s">
        <v>18</v>
      </c>
      <c r="D212" s="4">
        <v>1778</v>
      </c>
      <c r="E212" s="5">
        <v>270</v>
      </c>
    </row>
    <row r="213" spans="1:5" x14ac:dyDescent="0.3">
      <c r="A213" t="s">
        <v>6</v>
      </c>
      <c r="B213" t="s">
        <v>39</v>
      </c>
      <c r="C213" t="s">
        <v>30</v>
      </c>
      <c r="D213" s="4">
        <v>1638</v>
      </c>
      <c r="E213" s="5">
        <v>63</v>
      </c>
    </row>
    <row r="214" spans="1:5" x14ac:dyDescent="0.3">
      <c r="A214" t="s">
        <v>41</v>
      </c>
      <c r="B214" t="s">
        <v>38</v>
      </c>
      <c r="C214" t="s">
        <v>25</v>
      </c>
      <c r="D214" s="4">
        <v>154</v>
      </c>
      <c r="E214" s="5">
        <v>21</v>
      </c>
    </row>
    <row r="215" spans="1:5" x14ac:dyDescent="0.3">
      <c r="A215" t="s">
        <v>7</v>
      </c>
      <c r="B215" t="s">
        <v>37</v>
      </c>
      <c r="C215" t="s">
        <v>22</v>
      </c>
      <c r="D215" s="4">
        <v>9835</v>
      </c>
      <c r="E215" s="5">
        <v>207</v>
      </c>
    </row>
    <row r="216" spans="1:5" x14ac:dyDescent="0.3">
      <c r="A216" t="s">
        <v>9</v>
      </c>
      <c r="B216" t="s">
        <v>37</v>
      </c>
      <c r="C216" t="s">
        <v>20</v>
      </c>
      <c r="D216" s="4">
        <v>7273</v>
      </c>
      <c r="E216" s="5">
        <v>96</v>
      </c>
    </row>
    <row r="217" spans="1:5" x14ac:dyDescent="0.3">
      <c r="A217" t="s">
        <v>5</v>
      </c>
      <c r="B217" t="s">
        <v>39</v>
      </c>
      <c r="C217" t="s">
        <v>22</v>
      </c>
      <c r="D217" s="4">
        <v>6909</v>
      </c>
      <c r="E217" s="5">
        <v>81</v>
      </c>
    </row>
    <row r="218" spans="1:5" x14ac:dyDescent="0.3">
      <c r="A218" t="s">
        <v>9</v>
      </c>
      <c r="B218" t="s">
        <v>39</v>
      </c>
      <c r="C218" t="s">
        <v>24</v>
      </c>
      <c r="D218" s="4">
        <v>3920</v>
      </c>
      <c r="E218" s="5">
        <v>306</v>
      </c>
    </row>
    <row r="219" spans="1:5" x14ac:dyDescent="0.3">
      <c r="A219" t="s">
        <v>10</v>
      </c>
      <c r="B219" t="s">
        <v>39</v>
      </c>
      <c r="C219" t="s">
        <v>21</v>
      </c>
      <c r="D219" s="4">
        <v>4858</v>
      </c>
      <c r="E219" s="5">
        <v>279</v>
      </c>
    </row>
    <row r="220" spans="1:5" x14ac:dyDescent="0.3">
      <c r="A220" t="s">
        <v>2</v>
      </c>
      <c r="B220" t="s">
        <v>38</v>
      </c>
      <c r="C220" t="s">
        <v>4</v>
      </c>
      <c r="D220" s="4">
        <v>3549</v>
      </c>
      <c r="E220" s="5">
        <v>3</v>
      </c>
    </row>
    <row r="221" spans="1:5" x14ac:dyDescent="0.3">
      <c r="A221" t="s">
        <v>7</v>
      </c>
      <c r="B221" t="s">
        <v>39</v>
      </c>
      <c r="C221" t="s">
        <v>27</v>
      </c>
      <c r="D221" s="4">
        <v>966</v>
      </c>
      <c r="E221" s="5">
        <v>198</v>
      </c>
    </row>
    <row r="222" spans="1:5" x14ac:dyDescent="0.3">
      <c r="A222" t="s">
        <v>5</v>
      </c>
      <c r="B222" t="s">
        <v>39</v>
      </c>
      <c r="C222" t="s">
        <v>18</v>
      </c>
      <c r="D222" s="4">
        <v>385</v>
      </c>
      <c r="E222" s="5">
        <v>249</v>
      </c>
    </row>
    <row r="223" spans="1:5" x14ac:dyDescent="0.3">
      <c r="A223" t="s">
        <v>6</v>
      </c>
      <c r="B223" t="s">
        <v>34</v>
      </c>
      <c r="C223" t="s">
        <v>16</v>
      </c>
      <c r="D223" s="4">
        <v>2219</v>
      </c>
      <c r="E223" s="5">
        <v>75</v>
      </c>
    </row>
    <row r="224" spans="1:5" x14ac:dyDescent="0.3">
      <c r="A224" t="s">
        <v>9</v>
      </c>
      <c r="B224" t="s">
        <v>36</v>
      </c>
      <c r="C224" t="s">
        <v>32</v>
      </c>
      <c r="D224" s="4">
        <v>2954</v>
      </c>
      <c r="E224" s="5">
        <v>189</v>
      </c>
    </row>
    <row r="225" spans="1:5" x14ac:dyDescent="0.3">
      <c r="A225" t="s">
        <v>7</v>
      </c>
      <c r="B225" t="s">
        <v>36</v>
      </c>
      <c r="C225" t="s">
        <v>32</v>
      </c>
      <c r="D225" s="4">
        <v>280</v>
      </c>
      <c r="E225" s="5">
        <v>87</v>
      </c>
    </row>
    <row r="226" spans="1:5" x14ac:dyDescent="0.3">
      <c r="A226" t="s">
        <v>41</v>
      </c>
      <c r="B226" t="s">
        <v>36</v>
      </c>
      <c r="C226" t="s">
        <v>30</v>
      </c>
      <c r="D226" s="4">
        <v>6118</v>
      </c>
      <c r="E226" s="5">
        <v>174</v>
      </c>
    </row>
    <row r="227" spans="1:5" x14ac:dyDescent="0.3">
      <c r="A227" t="s">
        <v>2</v>
      </c>
      <c r="B227" t="s">
        <v>39</v>
      </c>
      <c r="C227" t="s">
        <v>15</v>
      </c>
      <c r="D227" s="4">
        <v>4802</v>
      </c>
      <c r="E227" s="5">
        <v>36</v>
      </c>
    </row>
    <row r="228" spans="1:5" x14ac:dyDescent="0.3">
      <c r="A228" t="s">
        <v>9</v>
      </c>
      <c r="B228" t="s">
        <v>38</v>
      </c>
      <c r="C228" t="s">
        <v>24</v>
      </c>
      <c r="D228" s="4">
        <v>4137</v>
      </c>
      <c r="E228" s="5">
        <v>60</v>
      </c>
    </row>
    <row r="229" spans="1:5" x14ac:dyDescent="0.3">
      <c r="A229" t="s">
        <v>3</v>
      </c>
      <c r="B229" t="s">
        <v>35</v>
      </c>
      <c r="C229" t="s">
        <v>23</v>
      </c>
      <c r="D229" s="4">
        <v>2023</v>
      </c>
      <c r="E229" s="5">
        <v>78</v>
      </c>
    </row>
    <row r="230" spans="1:5" x14ac:dyDescent="0.3">
      <c r="A230" t="s">
        <v>9</v>
      </c>
      <c r="B230" t="s">
        <v>36</v>
      </c>
      <c r="C230" t="s">
        <v>30</v>
      </c>
      <c r="D230" s="4">
        <v>9051</v>
      </c>
      <c r="E230" s="5">
        <v>57</v>
      </c>
    </row>
    <row r="231" spans="1:5" x14ac:dyDescent="0.3">
      <c r="A231" t="s">
        <v>9</v>
      </c>
      <c r="B231" t="s">
        <v>37</v>
      </c>
      <c r="C231" t="s">
        <v>28</v>
      </c>
      <c r="D231" s="4">
        <v>2919</v>
      </c>
      <c r="E231" s="5">
        <v>45</v>
      </c>
    </row>
    <row r="232" spans="1:5" x14ac:dyDescent="0.3">
      <c r="A232" t="s">
        <v>41</v>
      </c>
      <c r="B232" t="s">
        <v>38</v>
      </c>
      <c r="C232" t="s">
        <v>22</v>
      </c>
      <c r="D232" s="4">
        <v>5915</v>
      </c>
      <c r="E232" s="5">
        <v>3</v>
      </c>
    </row>
    <row r="233" spans="1:5" x14ac:dyDescent="0.3">
      <c r="A233" t="s">
        <v>10</v>
      </c>
      <c r="B233" t="s">
        <v>35</v>
      </c>
      <c r="C233" t="s">
        <v>15</v>
      </c>
      <c r="D233" s="4">
        <v>2562</v>
      </c>
      <c r="E233" s="5">
        <v>6</v>
      </c>
    </row>
    <row r="234" spans="1:5" x14ac:dyDescent="0.3">
      <c r="A234" t="s">
        <v>5</v>
      </c>
      <c r="B234" t="s">
        <v>37</v>
      </c>
      <c r="C234" t="s">
        <v>25</v>
      </c>
      <c r="D234" s="4">
        <v>8813</v>
      </c>
      <c r="E234" s="5">
        <v>21</v>
      </c>
    </row>
    <row r="235" spans="1:5" x14ac:dyDescent="0.3">
      <c r="A235" t="s">
        <v>5</v>
      </c>
      <c r="B235" t="s">
        <v>36</v>
      </c>
      <c r="C235" t="s">
        <v>18</v>
      </c>
      <c r="D235" s="4">
        <v>6111</v>
      </c>
      <c r="E235" s="5">
        <v>3</v>
      </c>
    </row>
    <row r="236" spans="1:5" x14ac:dyDescent="0.3">
      <c r="A236" t="s">
        <v>8</v>
      </c>
      <c r="B236" t="s">
        <v>34</v>
      </c>
      <c r="C236" t="s">
        <v>31</v>
      </c>
      <c r="D236" s="4">
        <v>3507</v>
      </c>
      <c r="E236" s="5">
        <v>288</v>
      </c>
    </row>
    <row r="237" spans="1:5" x14ac:dyDescent="0.3">
      <c r="A237" t="s">
        <v>6</v>
      </c>
      <c r="B237" t="s">
        <v>36</v>
      </c>
      <c r="C237" t="s">
        <v>13</v>
      </c>
      <c r="D237" s="4">
        <v>4319</v>
      </c>
      <c r="E237" s="5">
        <v>30</v>
      </c>
    </row>
    <row r="238" spans="1:5" x14ac:dyDescent="0.3">
      <c r="A238" t="s">
        <v>40</v>
      </c>
      <c r="B238" t="s">
        <v>38</v>
      </c>
      <c r="C238" t="s">
        <v>26</v>
      </c>
      <c r="D238" s="4">
        <v>609</v>
      </c>
      <c r="E238" s="5">
        <v>87</v>
      </c>
    </row>
    <row r="239" spans="1:5" x14ac:dyDescent="0.3">
      <c r="A239" t="s">
        <v>40</v>
      </c>
      <c r="B239" t="s">
        <v>39</v>
      </c>
      <c r="C239" t="s">
        <v>27</v>
      </c>
      <c r="D239" s="4">
        <v>6370</v>
      </c>
      <c r="E239" s="5">
        <v>30</v>
      </c>
    </row>
    <row r="240" spans="1:5" x14ac:dyDescent="0.3">
      <c r="A240" t="s">
        <v>5</v>
      </c>
      <c r="B240" t="s">
        <v>38</v>
      </c>
      <c r="C240" t="s">
        <v>19</v>
      </c>
      <c r="D240" s="4">
        <v>5474</v>
      </c>
      <c r="E240" s="5">
        <v>168</v>
      </c>
    </row>
    <row r="241" spans="1:5" x14ac:dyDescent="0.3">
      <c r="A241" t="s">
        <v>40</v>
      </c>
      <c r="B241" t="s">
        <v>36</v>
      </c>
      <c r="C241" t="s">
        <v>27</v>
      </c>
      <c r="D241" s="4">
        <v>3164</v>
      </c>
      <c r="E241" s="5">
        <v>306</v>
      </c>
    </row>
    <row r="242" spans="1:5" x14ac:dyDescent="0.3">
      <c r="A242" t="s">
        <v>6</v>
      </c>
      <c r="B242" t="s">
        <v>35</v>
      </c>
      <c r="C242" t="s">
        <v>4</v>
      </c>
      <c r="D242" s="4">
        <v>1302</v>
      </c>
      <c r="E242" s="5">
        <v>402</v>
      </c>
    </row>
    <row r="243" spans="1:5" x14ac:dyDescent="0.3">
      <c r="A243" t="s">
        <v>3</v>
      </c>
      <c r="B243" t="s">
        <v>37</v>
      </c>
      <c r="C243" t="s">
        <v>28</v>
      </c>
      <c r="D243" s="4">
        <v>7308</v>
      </c>
      <c r="E243" s="5">
        <v>327</v>
      </c>
    </row>
    <row r="244" spans="1:5" x14ac:dyDescent="0.3">
      <c r="A244" t="s">
        <v>40</v>
      </c>
      <c r="B244" t="s">
        <v>37</v>
      </c>
      <c r="C244" t="s">
        <v>27</v>
      </c>
      <c r="D244" s="4">
        <v>6132</v>
      </c>
      <c r="E244" s="5">
        <v>93</v>
      </c>
    </row>
    <row r="245" spans="1:5" x14ac:dyDescent="0.3">
      <c r="A245" t="s">
        <v>10</v>
      </c>
      <c r="B245" t="s">
        <v>35</v>
      </c>
      <c r="C245" t="s">
        <v>14</v>
      </c>
      <c r="D245" s="4">
        <v>3472</v>
      </c>
      <c r="E245" s="5">
        <v>96</v>
      </c>
    </row>
    <row r="246" spans="1:5" x14ac:dyDescent="0.3">
      <c r="A246" t="s">
        <v>8</v>
      </c>
      <c r="B246" t="s">
        <v>39</v>
      </c>
      <c r="C246" t="s">
        <v>18</v>
      </c>
      <c r="D246" s="4">
        <v>9660</v>
      </c>
      <c r="E246" s="5">
        <v>27</v>
      </c>
    </row>
    <row r="247" spans="1:5" x14ac:dyDescent="0.3">
      <c r="A247" t="s">
        <v>9</v>
      </c>
      <c r="B247" t="s">
        <v>38</v>
      </c>
      <c r="C247" t="s">
        <v>26</v>
      </c>
      <c r="D247" s="4">
        <v>2436</v>
      </c>
      <c r="E247" s="5">
        <v>99</v>
      </c>
    </row>
    <row r="248" spans="1:5" x14ac:dyDescent="0.3">
      <c r="A248" t="s">
        <v>9</v>
      </c>
      <c r="B248" t="s">
        <v>38</v>
      </c>
      <c r="C248" t="s">
        <v>33</v>
      </c>
      <c r="D248" s="4">
        <v>9506</v>
      </c>
      <c r="E248" s="5">
        <v>87</v>
      </c>
    </row>
    <row r="249" spans="1:5" x14ac:dyDescent="0.3">
      <c r="A249" t="s">
        <v>10</v>
      </c>
      <c r="B249" t="s">
        <v>37</v>
      </c>
      <c r="C249" t="s">
        <v>21</v>
      </c>
      <c r="D249" s="4">
        <v>245</v>
      </c>
      <c r="E249" s="5">
        <v>288</v>
      </c>
    </row>
    <row r="250" spans="1:5" x14ac:dyDescent="0.3">
      <c r="A250" t="s">
        <v>8</v>
      </c>
      <c r="B250" t="s">
        <v>35</v>
      </c>
      <c r="C250" t="s">
        <v>20</v>
      </c>
      <c r="D250" s="4">
        <v>2702</v>
      </c>
      <c r="E250" s="5">
        <v>363</v>
      </c>
    </row>
    <row r="251" spans="1:5" x14ac:dyDescent="0.3">
      <c r="A251" t="s">
        <v>10</v>
      </c>
      <c r="B251" t="s">
        <v>34</v>
      </c>
      <c r="C251" t="s">
        <v>17</v>
      </c>
      <c r="D251" s="4">
        <v>700</v>
      </c>
      <c r="E251" s="5">
        <v>87</v>
      </c>
    </row>
    <row r="252" spans="1:5" x14ac:dyDescent="0.3">
      <c r="A252" t="s">
        <v>6</v>
      </c>
      <c r="B252" t="s">
        <v>34</v>
      </c>
      <c r="C252" t="s">
        <v>17</v>
      </c>
      <c r="D252" s="4">
        <v>3759</v>
      </c>
      <c r="E252" s="5">
        <v>150</v>
      </c>
    </row>
    <row r="253" spans="1:5" x14ac:dyDescent="0.3">
      <c r="A253" t="s">
        <v>2</v>
      </c>
      <c r="B253" t="s">
        <v>35</v>
      </c>
      <c r="C253" t="s">
        <v>17</v>
      </c>
      <c r="D253" s="4">
        <v>1589</v>
      </c>
      <c r="E253" s="5">
        <v>303</v>
      </c>
    </row>
    <row r="254" spans="1:5" x14ac:dyDescent="0.3">
      <c r="A254" t="s">
        <v>7</v>
      </c>
      <c r="B254" t="s">
        <v>35</v>
      </c>
      <c r="C254" t="s">
        <v>28</v>
      </c>
      <c r="D254" s="4">
        <v>5194</v>
      </c>
      <c r="E254" s="5">
        <v>288</v>
      </c>
    </row>
    <row r="255" spans="1:5" x14ac:dyDescent="0.3">
      <c r="A255" t="s">
        <v>10</v>
      </c>
      <c r="B255" t="s">
        <v>36</v>
      </c>
      <c r="C255" t="s">
        <v>13</v>
      </c>
      <c r="D255" s="4">
        <v>945</v>
      </c>
      <c r="E255" s="5">
        <v>75</v>
      </c>
    </row>
    <row r="256" spans="1:5" x14ac:dyDescent="0.3">
      <c r="A256" t="s">
        <v>40</v>
      </c>
      <c r="B256" t="s">
        <v>38</v>
      </c>
      <c r="C256" t="s">
        <v>31</v>
      </c>
      <c r="D256" s="4">
        <v>1988</v>
      </c>
      <c r="E256" s="5">
        <v>39</v>
      </c>
    </row>
    <row r="257" spans="1:5" x14ac:dyDescent="0.3">
      <c r="A257" t="s">
        <v>6</v>
      </c>
      <c r="B257" t="s">
        <v>34</v>
      </c>
      <c r="C257" t="s">
        <v>32</v>
      </c>
      <c r="D257" s="4">
        <v>6734</v>
      </c>
      <c r="E257" s="5">
        <v>123</v>
      </c>
    </row>
    <row r="258" spans="1:5" x14ac:dyDescent="0.3">
      <c r="A258" t="s">
        <v>40</v>
      </c>
      <c r="B258" t="s">
        <v>36</v>
      </c>
      <c r="C258" t="s">
        <v>4</v>
      </c>
      <c r="D258" s="4">
        <v>217</v>
      </c>
      <c r="E258" s="5">
        <v>36</v>
      </c>
    </row>
    <row r="259" spans="1:5" x14ac:dyDescent="0.3">
      <c r="A259" t="s">
        <v>5</v>
      </c>
      <c r="B259" t="s">
        <v>34</v>
      </c>
      <c r="C259" t="s">
        <v>22</v>
      </c>
      <c r="D259" s="4">
        <v>6279</v>
      </c>
      <c r="E259" s="5">
        <v>237</v>
      </c>
    </row>
    <row r="260" spans="1:5" x14ac:dyDescent="0.3">
      <c r="A260" t="s">
        <v>40</v>
      </c>
      <c r="B260" t="s">
        <v>36</v>
      </c>
      <c r="C260" t="s">
        <v>13</v>
      </c>
      <c r="D260" s="4">
        <v>4424</v>
      </c>
      <c r="E260" s="5">
        <v>201</v>
      </c>
    </row>
    <row r="261" spans="1:5" x14ac:dyDescent="0.3">
      <c r="A261" t="s">
        <v>2</v>
      </c>
      <c r="B261" t="s">
        <v>36</v>
      </c>
      <c r="C261" t="s">
        <v>17</v>
      </c>
      <c r="D261" s="4">
        <v>189</v>
      </c>
      <c r="E261" s="5">
        <v>48</v>
      </c>
    </row>
    <row r="262" spans="1:5" x14ac:dyDescent="0.3">
      <c r="A262" t="s">
        <v>5</v>
      </c>
      <c r="B262" t="s">
        <v>35</v>
      </c>
      <c r="C262" t="s">
        <v>22</v>
      </c>
      <c r="D262" s="4">
        <v>490</v>
      </c>
      <c r="E262" s="5">
        <v>84</v>
      </c>
    </row>
    <row r="263" spans="1:5" x14ac:dyDescent="0.3">
      <c r="A263" t="s">
        <v>8</v>
      </c>
      <c r="B263" t="s">
        <v>37</v>
      </c>
      <c r="C263" t="s">
        <v>21</v>
      </c>
      <c r="D263" s="4">
        <v>434</v>
      </c>
      <c r="E263" s="5">
        <v>87</v>
      </c>
    </row>
    <row r="264" spans="1:5" x14ac:dyDescent="0.3">
      <c r="A264" t="s">
        <v>7</v>
      </c>
      <c r="B264" t="s">
        <v>38</v>
      </c>
      <c r="C264" t="s">
        <v>30</v>
      </c>
      <c r="D264" s="4">
        <v>10129</v>
      </c>
      <c r="E264" s="5">
        <v>312</v>
      </c>
    </row>
    <row r="265" spans="1:5" x14ac:dyDescent="0.3">
      <c r="A265" t="s">
        <v>3</v>
      </c>
      <c r="B265" t="s">
        <v>39</v>
      </c>
      <c r="C265" t="s">
        <v>28</v>
      </c>
      <c r="D265" s="4">
        <v>1652</v>
      </c>
      <c r="E265" s="5">
        <v>102</v>
      </c>
    </row>
    <row r="266" spans="1:5" x14ac:dyDescent="0.3">
      <c r="A266" t="s">
        <v>8</v>
      </c>
      <c r="B266" t="s">
        <v>38</v>
      </c>
      <c r="C266" t="s">
        <v>21</v>
      </c>
      <c r="D266" s="4">
        <v>6433</v>
      </c>
      <c r="E266" s="5">
        <v>78</v>
      </c>
    </row>
    <row r="267" spans="1:5" x14ac:dyDescent="0.3">
      <c r="A267" t="s">
        <v>3</v>
      </c>
      <c r="B267" t="s">
        <v>34</v>
      </c>
      <c r="C267" t="s">
        <v>23</v>
      </c>
      <c r="D267" s="4">
        <v>2212</v>
      </c>
      <c r="E267" s="5">
        <v>117</v>
      </c>
    </row>
    <row r="268" spans="1:5" x14ac:dyDescent="0.3">
      <c r="A268" t="s">
        <v>41</v>
      </c>
      <c r="B268" t="s">
        <v>35</v>
      </c>
      <c r="C268" t="s">
        <v>19</v>
      </c>
      <c r="D268" s="4">
        <v>609</v>
      </c>
      <c r="E268" s="5">
        <v>99</v>
      </c>
    </row>
    <row r="269" spans="1:5" x14ac:dyDescent="0.3">
      <c r="A269" t="s">
        <v>40</v>
      </c>
      <c r="B269" t="s">
        <v>35</v>
      </c>
      <c r="C269" t="s">
        <v>24</v>
      </c>
      <c r="D269" s="4">
        <v>1638</v>
      </c>
      <c r="E269" s="5">
        <v>48</v>
      </c>
    </row>
    <row r="270" spans="1:5" x14ac:dyDescent="0.3">
      <c r="A270" t="s">
        <v>7</v>
      </c>
      <c r="B270" t="s">
        <v>34</v>
      </c>
      <c r="C270" t="s">
        <v>15</v>
      </c>
      <c r="D270" s="4">
        <v>3829</v>
      </c>
      <c r="E270" s="5">
        <v>24</v>
      </c>
    </row>
    <row r="271" spans="1:5" x14ac:dyDescent="0.3">
      <c r="A271" t="s">
        <v>40</v>
      </c>
      <c r="B271" t="s">
        <v>39</v>
      </c>
      <c r="C271" t="s">
        <v>15</v>
      </c>
      <c r="D271" s="4">
        <v>5775</v>
      </c>
      <c r="E271" s="5">
        <v>42</v>
      </c>
    </row>
    <row r="272" spans="1:5" x14ac:dyDescent="0.3">
      <c r="A272" t="s">
        <v>6</v>
      </c>
      <c r="B272" t="s">
        <v>35</v>
      </c>
      <c r="C272" t="s">
        <v>20</v>
      </c>
      <c r="D272" s="4">
        <v>1071</v>
      </c>
      <c r="E272" s="5">
        <v>270</v>
      </c>
    </row>
    <row r="273" spans="1:5" x14ac:dyDescent="0.3">
      <c r="A273" t="s">
        <v>8</v>
      </c>
      <c r="B273" t="s">
        <v>36</v>
      </c>
      <c r="C273" t="s">
        <v>23</v>
      </c>
      <c r="D273" s="4">
        <v>5019</v>
      </c>
      <c r="E273" s="5">
        <v>150</v>
      </c>
    </row>
    <row r="274" spans="1:5" x14ac:dyDescent="0.3">
      <c r="A274" t="s">
        <v>2</v>
      </c>
      <c r="B274" t="s">
        <v>37</v>
      </c>
      <c r="C274" t="s">
        <v>15</v>
      </c>
      <c r="D274" s="4">
        <v>2863</v>
      </c>
      <c r="E274" s="5">
        <v>42</v>
      </c>
    </row>
    <row r="275" spans="1:5" x14ac:dyDescent="0.3">
      <c r="A275" t="s">
        <v>40</v>
      </c>
      <c r="B275" t="s">
        <v>35</v>
      </c>
      <c r="C275" t="s">
        <v>29</v>
      </c>
      <c r="D275" s="4">
        <v>1617</v>
      </c>
      <c r="E275" s="5">
        <v>126</v>
      </c>
    </row>
    <row r="276" spans="1:5" x14ac:dyDescent="0.3">
      <c r="A276" t="s">
        <v>6</v>
      </c>
      <c r="B276" t="s">
        <v>37</v>
      </c>
      <c r="C276" t="s">
        <v>26</v>
      </c>
      <c r="D276" s="4">
        <v>6818</v>
      </c>
      <c r="E276" s="5">
        <v>6</v>
      </c>
    </row>
    <row r="277" spans="1:5" x14ac:dyDescent="0.3">
      <c r="A277" t="s">
        <v>3</v>
      </c>
      <c r="B277" t="s">
        <v>35</v>
      </c>
      <c r="C277" t="s">
        <v>15</v>
      </c>
      <c r="D277" s="4">
        <v>6657</v>
      </c>
      <c r="E277" s="5">
        <v>276</v>
      </c>
    </row>
    <row r="278" spans="1:5" x14ac:dyDescent="0.3">
      <c r="A278" t="s">
        <v>3</v>
      </c>
      <c r="B278" t="s">
        <v>34</v>
      </c>
      <c r="C278" t="s">
        <v>17</v>
      </c>
      <c r="D278" s="4">
        <v>2919</v>
      </c>
      <c r="E278" s="5">
        <v>93</v>
      </c>
    </row>
    <row r="279" spans="1:5" x14ac:dyDescent="0.3">
      <c r="A279" t="s">
        <v>2</v>
      </c>
      <c r="B279" t="s">
        <v>36</v>
      </c>
      <c r="C279" t="s">
        <v>31</v>
      </c>
      <c r="D279" s="4">
        <v>3094</v>
      </c>
      <c r="E279" s="5">
        <v>246</v>
      </c>
    </row>
    <row r="280" spans="1:5" x14ac:dyDescent="0.3">
      <c r="A280" t="s">
        <v>6</v>
      </c>
      <c r="B280" t="s">
        <v>39</v>
      </c>
      <c r="C280" t="s">
        <v>24</v>
      </c>
      <c r="D280" s="4">
        <v>2989</v>
      </c>
      <c r="E280" s="5">
        <v>3</v>
      </c>
    </row>
    <row r="281" spans="1:5" x14ac:dyDescent="0.3">
      <c r="A281" t="s">
        <v>8</v>
      </c>
      <c r="B281" t="s">
        <v>38</v>
      </c>
      <c r="C281" t="s">
        <v>27</v>
      </c>
      <c r="D281" s="4">
        <v>2268</v>
      </c>
      <c r="E281" s="5">
        <v>63</v>
      </c>
    </row>
    <row r="282" spans="1:5" x14ac:dyDescent="0.3">
      <c r="A282" t="s">
        <v>5</v>
      </c>
      <c r="B282" t="s">
        <v>35</v>
      </c>
      <c r="C282" t="s">
        <v>31</v>
      </c>
      <c r="D282" s="4">
        <v>4753</v>
      </c>
      <c r="E282" s="5">
        <v>246</v>
      </c>
    </row>
    <row r="283" spans="1:5" x14ac:dyDescent="0.3">
      <c r="A283" t="s">
        <v>2</v>
      </c>
      <c r="B283" t="s">
        <v>34</v>
      </c>
      <c r="C283" t="s">
        <v>19</v>
      </c>
      <c r="D283" s="4">
        <v>7511</v>
      </c>
      <c r="E283" s="5">
        <v>120</v>
      </c>
    </row>
    <row r="284" spans="1:5" x14ac:dyDescent="0.3">
      <c r="A284" t="s">
        <v>2</v>
      </c>
      <c r="B284" t="s">
        <v>38</v>
      </c>
      <c r="C284" t="s">
        <v>31</v>
      </c>
      <c r="D284" s="4">
        <v>4326</v>
      </c>
      <c r="E284" s="5">
        <v>348</v>
      </c>
    </row>
    <row r="285" spans="1:5" x14ac:dyDescent="0.3">
      <c r="A285" t="s">
        <v>41</v>
      </c>
      <c r="B285" t="s">
        <v>34</v>
      </c>
      <c r="C285" t="s">
        <v>23</v>
      </c>
      <c r="D285" s="4">
        <v>4935</v>
      </c>
      <c r="E285" s="5">
        <v>126</v>
      </c>
    </row>
    <row r="286" spans="1:5" x14ac:dyDescent="0.3">
      <c r="A286" t="s">
        <v>6</v>
      </c>
      <c r="B286" t="s">
        <v>35</v>
      </c>
      <c r="C286" t="s">
        <v>30</v>
      </c>
      <c r="D286" s="4">
        <v>4781</v>
      </c>
      <c r="E286" s="5">
        <v>123</v>
      </c>
    </row>
    <row r="287" spans="1:5" x14ac:dyDescent="0.3">
      <c r="A287" t="s">
        <v>5</v>
      </c>
      <c r="B287" t="s">
        <v>38</v>
      </c>
      <c r="C287" t="s">
        <v>25</v>
      </c>
      <c r="D287" s="4">
        <v>7483</v>
      </c>
      <c r="E287" s="5">
        <v>45</v>
      </c>
    </row>
    <row r="288" spans="1:5" x14ac:dyDescent="0.3">
      <c r="A288" t="s">
        <v>10</v>
      </c>
      <c r="B288" t="s">
        <v>38</v>
      </c>
      <c r="C288" t="s">
        <v>4</v>
      </c>
      <c r="D288" s="4">
        <v>6860</v>
      </c>
      <c r="E288" s="5">
        <v>126</v>
      </c>
    </row>
    <row r="289" spans="1:5" x14ac:dyDescent="0.3">
      <c r="A289" t="s">
        <v>40</v>
      </c>
      <c r="B289" t="s">
        <v>37</v>
      </c>
      <c r="C289" t="s">
        <v>29</v>
      </c>
      <c r="D289" s="4">
        <v>9002</v>
      </c>
      <c r="E289" s="5">
        <v>72</v>
      </c>
    </row>
    <row r="290" spans="1:5" x14ac:dyDescent="0.3">
      <c r="A290" t="s">
        <v>6</v>
      </c>
      <c r="B290" t="s">
        <v>36</v>
      </c>
      <c r="C290" t="s">
        <v>29</v>
      </c>
      <c r="D290" s="4">
        <v>1400</v>
      </c>
      <c r="E290" s="5">
        <v>135</v>
      </c>
    </row>
    <row r="291" spans="1:5" x14ac:dyDescent="0.3">
      <c r="A291" t="s">
        <v>10</v>
      </c>
      <c r="B291" t="s">
        <v>34</v>
      </c>
      <c r="C291" t="s">
        <v>22</v>
      </c>
      <c r="D291" s="4">
        <v>4053</v>
      </c>
      <c r="E291" s="5">
        <v>24</v>
      </c>
    </row>
    <row r="292" spans="1:5" x14ac:dyDescent="0.3">
      <c r="A292" t="s">
        <v>7</v>
      </c>
      <c r="B292" t="s">
        <v>36</v>
      </c>
      <c r="C292" t="s">
        <v>31</v>
      </c>
      <c r="D292" s="4">
        <v>2149</v>
      </c>
      <c r="E292" s="5">
        <v>117</v>
      </c>
    </row>
    <row r="293" spans="1:5" x14ac:dyDescent="0.3">
      <c r="A293" t="s">
        <v>3</v>
      </c>
      <c r="B293" t="s">
        <v>39</v>
      </c>
      <c r="C293" t="s">
        <v>29</v>
      </c>
      <c r="D293" s="4">
        <v>3640</v>
      </c>
      <c r="E293" s="5">
        <v>51</v>
      </c>
    </row>
    <row r="294" spans="1:5" x14ac:dyDescent="0.3">
      <c r="A294" t="s">
        <v>2</v>
      </c>
      <c r="B294" t="s">
        <v>39</v>
      </c>
      <c r="C294" t="s">
        <v>23</v>
      </c>
      <c r="D294" s="4">
        <v>630</v>
      </c>
      <c r="E294" s="5">
        <v>36</v>
      </c>
    </row>
    <row r="295" spans="1:5" x14ac:dyDescent="0.3">
      <c r="A295" t="s">
        <v>9</v>
      </c>
      <c r="B295" t="s">
        <v>35</v>
      </c>
      <c r="C295" t="s">
        <v>27</v>
      </c>
      <c r="D295" s="4">
        <v>2429</v>
      </c>
      <c r="E295" s="5">
        <v>144</v>
      </c>
    </row>
    <row r="296" spans="1:5" x14ac:dyDescent="0.3">
      <c r="A296" t="s">
        <v>9</v>
      </c>
      <c r="B296" t="s">
        <v>36</v>
      </c>
      <c r="C296" t="s">
        <v>25</v>
      </c>
      <c r="D296" s="4">
        <v>2142</v>
      </c>
      <c r="E296" s="5">
        <v>114</v>
      </c>
    </row>
    <row r="297" spans="1:5" x14ac:dyDescent="0.3">
      <c r="A297" t="s">
        <v>7</v>
      </c>
      <c r="B297" t="s">
        <v>37</v>
      </c>
      <c r="C297" t="s">
        <v>30</v>
      </c>
      <c r="D297" s="4">
        <v>6454</v>
      </c>
      <c r="E297" s="5">
        <v>54</v>
      </c>
    </row>
    <row r="298" spans="1:5" x14ac:dyDescent="0.3">
      <c r="A298" t="s">
        <v>7</v>
      </c>
      <c r="B298" t="s">
        <v>37</v>
      </c>
      <c r="C298" t="s">
        <v>16</v>
      </c>
      <c r="D298" s="4">
        <v>4487</v>
      </c>
      <c r="E298" s="5">
        <v>333</v>
      </c>
    </row>
    <row r="299" spans="1:5" x14ac:dyDescent="0.3">
      <c r="A299" t="s">
        <v>3</v>
      </c>
      <c r="B299" t="s">
        <v>37</v>
      </c>
      <c r="C299" t="s">
        <v>4</v>
      </c>
      <c r="D299" s="4">
        <v>938</v>
      </c>
      <c r="E299" s="5">
        <v>366</v>
      </c>
    </row>
    <row r="300" spans="1:5" x14ac:dyDescent="0.3">
      <c r="A300" t="s">
        <v>3</v>
      </c>
      <c r="B300" t="s">
        <v>38</v>
      </c>
      <c r="C300" t="s">
        <v>26</v>
      </c>
      <c r="D300" s="4">
        <v>8841</v>
      </c>
      <c r="E300" s="5">
        <v>303</v>
      </c>
    </row>
    <row r="301" spans="1:5" x14ac:dyDescent="0.3">
      <c r="A301" t="s">
        <v>2</v>
      </c>
      <c r="B301" t="s">
        <v>39</v>
      </c>
      <c r="C301" t="s">
        <v>33</v>
      </c>
      <c r="D301" s="4">
        <v>4018</v>
      </c>
      <c r="E301" s="5">
        <v>126</v>
      </c>
    </row>
    <row r="302" spans="1:5" x14ac:dyDescent="0.3">
      <c r="A302" t="s">
        <v>41</v>
      </c>
      <c r="B302" t="s">
        <v>37</v>
      </c>
      <c r="C302" t="s">
        <v>15</v>
      </c>
      <c r="D302" s="4">
        <v>714</v>
      </c>
      <c r="E302" s="5">
        <v>231</v>
      </c>
    </row>
    <row r="303" spans="1:5" x14ac:dyDescent="0.3">
      <c r="A303" t="s">
        <v>9</v>
      </c>
      <c r="B303" t="s">
        <v>38</v>
      </c>
      <c r="C303" t="s">
        <v>25</v>
      </c>
      <c r="D303" s="4">
        <v>3850</v>
      </c>
      <c r="E303" s="5">
        <v>102</v>
      </c>
    </row>
  </sheetData>
  <mergeCells count="1">
    <mergeCell ref="A1:E1"/>
  </mergeCells>
  <conditionalFormatting sqref="D3:D1048576">
    <cfRule type="dataBar" priority="3">
      <dataBar>
        <cfvo type="min"/>
        <cfvo type="max"/>
        <color rgb="FFFFB628"/>
      </dataBar>
      <extLst>
        <ext xmlns:x14="http://schemas.microsoft.com/office/spreadsheetml/2009/9/main" uri="{B025F937-C7B1-47D3-B67F-A62EFF666E3E}">
          <x14:id>{CFA89620-4567-4F4A-B6AA-ED747428ED06}</x14:id>
        </ext>
      </extLst>
    </cfRule>
    <cfRule type="cellIs" dxfId="3" priority="7" operator="lessThan">
      <formula>2000</formula>
    </cfRule>
  </conditionalFormatting>
  <conditionalFormatting sqref="D4:D303">
    <cfRule type="top10" dxfId="2" priority="2" rank="10"/>
  </conditionalFormatting>
  <conditionalFormatting sqref="E4:E303">
    <cfRule type="aboveAverage" dxfId="1" priority="1"/>
  </conditionalFormatting>
  <conditionalFormatting sqref="G6">
    <cfRule type="dataBar" priority="4">
      <dataBar>
        <cfvo type="min"/>
        <cfvo type="max"/>
        <color rgb="FFFFB628"/>
      </dataBar>
      <extLst>
        <ext xmlns:x14="http://schemas.microsoft.com/office/spreadsheetml/2009/9/main" uri="{B025F937-C7B1-47D3-B67F-A62EFF666E3E}">
          <x14:id>{5619B905-08E7-4927-9397-FCD275D59FF8}</x14:id>
        </ext>
      </extLst>
    </cfRule>
  </conditionalFormatting>
  <conditionalFormatting sqref="I6">
    <cfRule type="dataBar" priority="5">
      <dataBar>
        <cfvo type="min"/>
        <cfvo type="max"/>
        <color rgb="FFD6007B"/>
      </dataBar>
      <extLst>
        <ext xmlns:x14="http://schemas.microsoft.com/office/spreadsheetml/2009/9/main" uri="{B025F937-C7B1-47D3-B67F-A62EFF666E3E}">
          <x14:id>{690A1970-6F38-498D-BE78-9691CB89DBB1}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FA89620-4567-4F4A-B6AA-ED747428ED06}">
            <x14:dataBar minLength="0" maxLength="100" border="1" negativeBarBorderColorSameAsPositive="0">
              <x14:cfvo type="autoMin"/>
              <x14:cfvo type="autoMax"/>
              <x14:borderColor rgb="FFFFB628"/>
              <x14:negativeFillColor rgb="FFFF0000"/>
              <x14:negativeBorderColor rgb="FFFF0000"/>
              <x14:axisColor rgb="FF000000"/>
            </x14:dataBar>
          </x14:cfRule>
          <xm:sqref>D3:D1048576</xm:sqref>
        </x14:conditionalFormatting>
        <x14:conditionalFormatting xmlns:xm="http://schemas.microsoft.com/office/excel/2006/main">
          <x14:cfRule type="dataBar" id="{5619B905-08E7-4927-9397-FCD275D59FF8}">
            <x14:dataBar minLength="0" maxLength="100" border="1" negativeBarBorderColorSameAsPositive="0">
              <x14:cfvo type="autoMin"/>
              <x14:cfvo type="autoMax"/>
              <x14:borderColor rgb="FFFFB628"/>
              <x14:negativeFillColor rgb="FFFF0000"/>
              <x14:negativeBorderColor rgb="FFFF0000"/>
              <x14:axisColor rgb="FF000000"/>
            </x14:dataBar>
          </x14:cfRule>
          <xm:sqref>G6</xm:sqref>
        </x14:conditionalFormatting>
        <x14:conditionalFormatting xmlns:xm="http://schemas.microsoft.com/office/excel/2006/main">
          <x14:cfRule type="dataBar" id="{690A1970-6F38-498D-BE78-9691CB89DBB1}">
            <x14:dataBar minLength="0" maxLength="100" border="1" negativeBarBorderColorSameAsPositive="0">
              <x14:cfvo type="autoMin"/>
              <x14:cfvo type="autoMax"/>
              <x14:borderColor rgb="FFD6007B"/>
              <x14:negativeFillColor rgb="FFFF0000"/>
              <x14:negativeBorderColor rgb="FFFF0000"/>
              <x14:axisColor rgb="FF000000"/>
            </x14:dataBar>
          </x14:cfRule>
          <xm:sqref>I6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9A09-E0C9-410A-AAF0-F28301E039F1}">
  <dimension ref="A1:I20"/>
  <sheetViews>
    <sheetView zoomScale="145" zoomScaleNormal="145" workbookViewId="0">
      <selection sqref="A1:E1"/>
    </sheetView>
  </sheetViews>
  <sheetFormatPr defaultRowHeight="14.4" x14ac:dyDescent="0.3"/>
  <cols>
    <col min="2" max="2" width="10.44140625" customWidth="1"/>
    <col min="3" max="3" width="16.77734375" customWidth="1"/>
    <col min="4" max="4" width="17.6640625" customWidth="1"/>
    <col min="5" max="5" width="0.109375" customWidth="1"/>
    <col min="7" max="7" width="16.88671875" customWidth="1"/>
    <col min="8" max="8" width="14.21875" customWidth="1"/>
    <col min="9" max="9" width="12" customWidth="1"/>
  </cols>
  <sheetData>
    <row r="1" spans="1:9" ht="23.4" x14ac:dyDescent="0.45">
      <c r="A1" s="48" t="s">
        <v>56</v>
      </c>
      <c r="B1" s="48"/>
      <c r="C1" s="48"/>
      <c r="D1" s="48"/>
      <c r="E1" s="48"/>
      <c r="G1" s="70"/>
      <c r="H1" s="70"/>
      <c r="I1" s="70"/>
    </row>
    <row r="2" spans="1:9" ht="18" x14ac:dyDescent="0.35">
      <c r="A2" s="71"/>
      <c r="B2" s="72"/>
      <c r="C2" s="14" t="s">
        <v>1</v>
      </c>
      <c r="D2" s="14" t="s">
        <v>58</v>
      </c>
      <c r="H2" s="20"/>
      <c r="I2" s="20"/>
    </row>
    <row r="3" spans="1:9" ht="18" x14ac:dyDescent="0.35">
      <c r="A3" s="68" t="s">
        <v>57</v>
      </c>
      <c r="B3" s="69"/>
      <c r="C3" s="15">
        <f>AVERAGE(Data[Amount])</f>
        <v>4136.2299999999996</v>
      </c>
      <c r="D3" s="16">
        <f>AVERAGE(Data[Units])</f>
        <v>152.19999999999999</v>
      </c>
      <c r="G3" s="20"/>
      <c r="H3" s="22"/>
      <c r="I3" s="21"/>
    </row>
    <row r="4" spans="1:9" ht="18" x14ac:dyDescent="0.35">
      <c r="A4" s="68" t="s">
        <v>59</v>
      </c>
      <c r="B4" s="69"/>
      <c r="C4" s="15">
        <f>MEDIAN(Data[Amount])</f>
        <v>3437</v>
      </c>
      <c r="D4" s="16">
        <f>MEDIAN(Data[Units])</f>
        <v>124.5</v>
      </c>
      <c r="G4" s="20"/>
      <c r="H4" s="22"/>
      <c r="I4" s="21"/>
    </row>
    <row r="5" spans="1:9" ht="18" x14ac:dyDescent="0.35">
      <c r="A5" s="68" t="s">
        <v>60</v>
      </c>
      <c r="B5" s="69"/>
      <c r="C5" s="16">
        <f>MIN(Data[Amount])</f>
        <v>0</v>
      </c>
      <c r="D5" s="16">
        <f>MIN(Data[Units])</f>
        <v>0</v>
      </c>
      <c r="G5" s="20"/>
      <c r="H5" s="23"/>
      <c r="I5" s="21"/>
    </row>
    <row r="6" spans="1:9" ht="18" x14ac:dyDescent="0.35">
      <c r="A6" s="68" t="s">
        <v>61</v>
      </c>
      <c r="B6" s="69"/>
      <c r="C6" s="15">
        <f>MAX(Data[Amount])</f>
        <v>16184</v>
      </c>
      <c r="D6" s="16">
        <f>MAX(Data[Units])</f>
        <v>525</v>
      </c>
      <c r="G6" s="20"/>
      <c r="H6" s="22"/>
      <c r="I6" s="21"/>
    </row>
    <row r="7" spans="1:9" ht="18" x14ac:dyDescent="0.35">
      <c r="A7" s="68" t="s">
        <v>62</v>
      </c>
      <c r="B7" s="69"/>
      <c r="C7" s="17">
        <f>C6-C5</f>
        <v>16184</v>
      </c>
      <c r="D7" s="16">
        <f>D6-D5</f>
        <v>525</v>
      </c>
      <c r="G7" s="20"/>
      <c r="H7" s="22"/>
      <c r="I7" s="21"/>
    </row>
    <row r="8" spans="1:9" ht="18" customHeight="1" x14ac:dyDescent="0.3">
      <c r="A8" s="73"/>
      <c r="B8" s="74"/>
      <c r="C8" s="77"/>
      <c r="D8" s="78"/>
      <c r="G8" s="20"/>
      <c r="H8" s="22"/>
      <c r="I8" s="21"/>
    </row>
    <row r="9" spans="1:9" ht="18" customHeight="1" x14ac:dyDescent="0.3">
      <c r="A9" s="75"/>
      <c r="B9" s="76"/>
      <c r="C9" s="79"/>
      <c r="D9" s="80"/>
      <c r="G9" s="20"/>
      <c r="H9" s="22"/>
      <c r="I9" s="21"/>
    </row>
    <row r="10" spans="1:9" ht="18" x14ac:dyDescent="0.35">
      <c r="A10" s="68" t="s">
        <v>63</v>
      </c>
      <c r="B10" s="69"/>
      <c r="C10" s="17">
        <f>_xlfn.PERCENTILE.EXC(Data[Amount],0.25)</f>
        <v>1652</v>
      </c>
      <c r="D10" s="16">
        <f>_xlfn.PERCENTILE.EXC(Data[Units],0.25)</f>
        <v>54</v>
      </c>
      <c r="G10" s="20"/>
      <c r="H10" s="22"/>
      <c r="I10" s="21"/>
    </row>
    <row r="11" spans="1:9" ht="18" x14ac:dyDescent="0.35">
      <c r="A11" s="68" t="s">
        <v>64</v>
      </c>
      <c r="B11" s="69"/>
      <c r="C11" s="17">
        <f>_xlfn.PERCENTILE.EXC(Data[Amount],0.75)</f>
        <v>6245.75</v>
      </c>
      <c r="D11" s="16">
        <f>_xlfn.PERCENTILE.EXC(Data[Units],0.75)</f>
        <v>223.5</v>
      </c>
      <c r="G11" s="20"/>
      <c r="H11" s="22"/>
      <c r="I11" s="21"/>
    </row>
    <row r="12" spans="1:9" ht="18" x14ac:dyDescent="0.35">
      <c r="A12" s="68"/>
      <c r="B12" s="69"/>
      <c r="C12" s="54"/>
      <c r="D12" s="55"/>
      <c r="G12" s="20"/>
      <c r="H12" s="22"/>
      <c r="I12" s="21"/>
    </row>
    <row r="13" spans="1:9" ht="18" x14ac:dyDescent="0.35">
      <c r="A13" s="18" t="s">
        <v>65</v>
      </c>
      <c r="B13" s="18"/>
      <c r="C13" s="19">
        <f>COUNTA(_xlfn.UNIQUE(Data[Product]))</f>
        <v>22</v>
      </c>
      <c r="D13" s="16"/>
      <c r="H13" s="12"/>
    </row>
    <row r="14" spans="1:9" x14ac:dyDescent="0.3">
      <c r="H14" s="12"/>
    </row>
    <row r="15" spans="1:9" x14ac:dyDescent="0.3">
      <c r="H15" s="12"/>
    </row>
    <row r="16" spans="1:9" x14ac:dyDescent="0.3">
      <c r="H16" s="12"/>
    </row>
    <row r="17" spans="5:8" x14ac:dyDescent="0.3">
      <c r="H17" s="12"/>
    </row>
    <row r="18" spans="5:8" x14ac:dyDescent="0.3">
      <c r="H18" s="12"/>
    </row>
    <row r="20" spans="5:8" x14ac:dyDescent="0.3">
      <c r="E20" s="13"/>
    </row>
  </sheetData>
  <mergeCells count="14">
    <mergeCell ref="G1:I1"/>
    <mergeCell ref="A2:B2"/>
    <mergeCell ref="A8:B9"/>
    <mergeCell ref="C8:D9"/>
    <mergeCell ref="A1:E1"/>
    <mergeCell ref="A3:B3"/>
    <mergeCell ref="A4:B4"/>
    <mergeCell ref="A5:B5"/>
    <mergeCell ref="A6:B6"/>
    <mergeCell ref="C12:D12"/>
    <mergeCell ref="A12:B12"/>
    <mergeCell ref="A7:B7"/>
    <mergeCell ref="A10:B10"/>
    <mergeCell ref="A11:B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064C-ED3A-4E4B-B9F4-638CA794F10E}">
  <dimension ref="A1:E13"/>
  <sheetViews>
    <sheetView zoomScale="145" zoomScaleNormal="145" workbookViewId="0">
      <selection activeCell="J1" sqref="J1"/>
    </sheetView>
  </sheetViews>
  <sheetFormatPr defaultRowHeight="14.4" x14ac:dyDescent="0.3"/>
  <cols>
    <col min="1" max="1" width="12.5546875" bestFit="1" customWidth="1"/>
    <col min="2" max="2" width="15.77734375" bestFit="1" customWidth="1"/>
    <col min="3" max="3" width="15.6640625" bestFit="1" customWidth="1"/>
    <col min="4" max="4" width="11.88671875" bestFit="1" customWidth="1"/>
  </cols>
  <sheetData>
    <row r="1" spans="1:5" ht="23.4" x14ac:dyDescent="0.45">
      <c r="A1" s="48" t="s">
        <v>46</v>
      </c>
      <c r="B1" s="66"/>
      <c r="C1" s="66"/>
      <c r="D1" s="66"/>
      <c r="E1" s="66"/>
    </row>
    <row r="3" spans="1:5" x14ac:dyDescent="0.3">
      <c r="A3" s="30" t="s">
        <v>68</v>
      </c>
      <c r="B3" s="32" t="s">
        <v>70</v>
      </c>
      <c r="C3" t="s">
        <v>72</v>
      </c>
      <c r="D3" t="s">
        <v>71</v>
      </c>
    </row>
    <row r="4" spans="1:5" x14ac:dyDescent="0.3">
      <c r="A4" s="31" t="s">
        <v>39</v>
      </c>
      <c r="B4" s="32">
        <v>45752</v>
      </c>
      <c r="C4">
        <v>45752</v>
      </c>
      <c r="D4">
        <v>1518</v>
      </c>
    </row>
    <row r="5" spans="1:5" x14ac:dyDescent="0.3">
      <c r="A5" s="31" t="s">
        <v>37</v>
      </c>
      <c r="B5" s="32">
        <v>25655</v>
      </c>
      <c r="C5">
        <v>25655</v>
      </c>
      <c r="D5">
        <v>453</v>
      </c>
    </row>
    <row r="6" spans="1:5" x14ac:dyDescent="0.3">
      <c r="A6" s="31" t="s">
        <v>36</v>
      </c>
      <c r="B6" s="32">
        <v>23709</v>
      </c>
      <c r="C6">
        <v>23709</v>
      </c>
      <c r="D6">
        <v>909</v>
      </c>
    </row>
    <row r="7" spans="1:5" x14ac:dyDescent="0.3">
      <c r="A7" s="31" t="s">
        <v>38</v>
      </c>
      <c r="B7" s="32">
        <v>18928</v>
      </c>
      <c r="C7">
        <v>18928</v>
      </c>
      <c r="D7">
        <v>738</v>
      </c>
    </row>
    <row r="8" spans="1:5" x14ac:dyDescent="0.3">
      <c r="A8" s="31" t="s">
        <v>34</v>
      </c>
      <c r="B8" s="32">
        <v>7763</v>
      </c>
      <c r="C8">
        <v>7763</v>
      </c>
      <c r="D8">
        <v>174</v>
      </c>
    </row>
    <row r="9" spans="1:5" x14ac:dyDescent="0.3">
      <c r="A9" s="31" t="s">
        <v>35</v>
      </c>
      <c r="B9" s="32">
        <v>2142</v>
      </c>
      <c r="C9">
        <v>2142</v>
      </c>
      <c r="D9">
        <v>318</v>
      </c>
    </row>
    <row r="13" spans="1:5" x14ac:dyDescent="0.3">
      <c r="A13" s="31" t="s">
        <v>73</v>
      </c>
    </row>
  </sheetData>
  <mergeCells count="1">
    <mergeCell ref="A1:E1"/>
  </mergeCells>
  <conditionalFormatting pivot="1" sqref="C4:C9">
    <cfRule type="dataBar" priority="1">
      <dataBar showValue="0">
        <cfvo type="min"/>
        <cfvo type="max"/>
        <color rgb="FF008AEF"/>
      </dataBar>
      <extLst>
        <ext xmlns:x14="http://schemas.microsoft.com/office/spreadsheetml/2009/9/main" uri="{B025F937-C7B1-47D3-B67F-A62EFF666E3E}">
          <x14:id>{88EB78D8-2726-4AF7-9CCD-4D8C8344599C}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8EB78D8-2726-4AF7-9CCD-4D8C8344599C}">
            <x14:dataBar minLength="0" maxLength="100" border="1" negativeBarBorderColorSameAsPositive="0">
              <x14:cfvo type="autoMin"/>
              <x14:cfvo type="autoMax"/>
              <x14:borderColor rgb="FF008AEF"/>
              <x14:negativeFillColor rgb="FFFF0000"/>
              <x14:negativeBorderColor rgb="FFFF0000"/>
              <x14:axisColor rgb="FF000000"/>
            </x14:dataBar>
          </x14:cfRule>
          <xm:sqref>C4:C9</xm:sqref>
        </x14:conditionalFormatting>
      </x14:conditionalFormatting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8355-1EA3-4A54-BF8B-70117A7E5444}">
  <dimension ref="A1:E9"/>
  <sheetViews>
    <sheetView zoomScale="130" zoomScaleNormal="130" workbookViewId="0">
      <selection activeCell="A5" sqref="A5"/>
    </sheetView>
  </sheetViews>
  <sheetFormatPr defaultRowHeight="14.4" x14ac:dyDescent="0.3"/>
  <cols>
    <col min="1" max="1" width="18.21875" bestFit="1" customWidth="1"/>
    <col min="2" max="4" width="12.5546875" bestFit="1" customWidth="1"/>
  </cols>
  <sheetData>
    <row r="1" spans="1:5" ht="23.4" x14ac:dyDescent="0.45">
      <c r="A1" s="48" t="s">
        <v>54</v>
      </c>
      <c r="B1" s="66"/>
      <c r="C1" s="66"/>
      <c r="D1" s="66"/>
      <c r="E1" s="66"/>
    </row>
    <row r="3" spans="1:5" x14ac:dyDescent="0.3">
      <c r="A3" s="30" t="s">
        <v>68</v>
      </c>
      <c r="B3" t="s">
        <v>74</v>
      </c>
    </row>
    <row r="4" spans="1:5" x14ac:dyDescent="0.3">
      <c r="A4" s="31" t="s">
        <v>24</v>
      </c>
      <c r="B4" s="33">
        <v>33.88697318007663</v>
      </c>
    </row>
    <row r="5" spans="1:5" x14ac:dyDescent="0.3">
      <c r="A5" s="31" t="s">
        <v>22</v>
      </c>
      <c r="B5" s="33">
        <v>32.301656920077974</v>
      </c>
    </row>
    <row r="6" spans="1:5" x14ac:dyDescent="0.3">
      <c r="A6" s="31" t="s">
        <v>26</v>
      </c>
      <c r="B6" s="33">
        <v>32.807189542483663</v>
      </c>
    </row>
    <row r="7" spans="1:5" x14ac:dyDescent="0.3">
      <c r="A7" s="31" t="s">
        <v>33</v>
      </c>
      <c r="B7" s="33">
        <v>37.303128371089535</v>
      </c>
    </row>
    <row r="8" spans="1:5" x14ac:dyDescent="0.3">
      <c r="A8" s="31" t="s">
        <v>15</v>
      </c>
      <c r="B8" s="33">
        <v>44.990867579908674</v>
      </c>
    </row>
    <row r="9" spans="1:5" x14ac:dyDescent="0.3">
      <c r="A9" s="31" t="s">
        <v>69</v>
      </c>
      <c r="B9" s="33">
        <v>35.949565217391303</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4E14-D148-4785-BF87-B57D86ACCFC3}">
  <dimension ref="A1:J26"/>
  <sheetViews>
    <sheetView zoomScale="145" zoomScaleNormal="145" workbookViewId="0">
      <selection activeCell="D11" sqref="D11"/>
    </sheetView>
  </sheetViews>
  <sheetFormatPr defaultRowHeight="14.4" x14ac:dyDescent="0.3"/>
  <cols>
    <col min="1" max="1" width="19.21875" bestFit="1" customWidth="1"/>
    <col min="2" max="2" width="8" bestFit="1" customWidth="1"/>
    <col min="3" max="3" width="14.44140625" bestFit="1" customWidth="1"/>
    <col min="4" max="4" width="11.88671875" bestFit="1" customWidth="1"/>
    <col min="5" max="5" width="11.6640625" customWidth="1"/>
    <col min="7" max="7" width="13.109375" customWidth="1"/>
  </cols>
  <sheetData>
    <row r="1" spans="1:10" ht="22.8" x14ac:dyDescent="0.4">
      <c r="A1" s="48" t="s">
        <v>48</v>
      </c>
      <c r="B1" s="49"/>
      <c r="C1" s="49"/>
      <c r="D1" s="49"/>
      <c r="E1" s="49"/>
      <c r="F1" s="49"/>
      <c r="G1" s="49"/>
    </row>
    <row r="3" spans="1:10" ht="18" x14ac:dyDescent="0.35">
      <c r="A3" s="30" t="s">
        <v>68</v>
      </c>
      <c r="B3" t="s">
        <v>79</v>
      </c>
      <c r="C3" t="s">
        <v>70</v>
      </c>
      <c r="D3" t="s">
        <v>71</v>
      </c>
      <c r="E3" s="45" t="s">
        <v>86</v>
      </c>
      <c r="J3" s="42"/>
    </row>
    <row r="4" spans="1:10" ht="18" x14ac:dyDescent="0.35">
      <c r="A4" s="31" t="s">
        <v>4</v>
      </c>
      <c r="B4" s="35">
        <v>-5610.24</v>
      </c>
      <c r="C4">
        <v>1197</v>
      </c>
      <c r="D4">
        <v>573</v>
      </c>
      <c r="E4" s="46" t="str">
        <f t="shared" ref="E4:E25" si="0">IF(AND(B2&lt;20000, C2&lt;40000, D2&lt;1500), "Discontinue", "Keep")</f>
        <v>Discontinue</v>
      </c>
      <c r="J4" s="43"/>
    </row>
    <row r="5" spans="1:10" ht="18" x14ac:dyDescent="0.35">
      <c r="A5" s="31" t="s">
        <v>21</v>
      </c>
      <c r="B5" s="35">
        <v>156</v>
      </c>
      <c r="C5">
        <v>3612</v>
      </c>
      <c r="D5">
        <v>384</v>
      </c>
      <c r="E5" s="46" t="str">
        <f t="shared" si="0"/>
        <v>Keep</v>
      </c>
      <c r="J5" s="43"/>
    </row>
    <row r="6" spans="1:10" ht="18" x14ac:dyDescent="0.35">
      <c r="A6" s="31" t="s">
        <v>27</v>
      </c>
      <c r="B6" s="35">
        <v>4576.1099999999997</v>
      </c>
      <c r="C6">
        <v>6132</v>
      </c>
      <c r="D6">
        <v>93</v>
      </c>
      <c r="E6" s="46" t="str">
        <f t="shared" si="0"/>
        <v>Discontinue</v>
      </c>
      <c r="J6" s="42"/>
    </row>
    <row r="7" spans="1:10" ht="18" x14ac:dyDescent="0.35">
      <c r="A7" s="31" t="s">
        <v>33</v>
      </c>
      <c r="B7" s="35">
        <v>5797.24</v>
      </c>
      <c r="C7">
        <v>6391</v>
      </c>
      <c r="D7">
        <v>48</v>
      </c>
      <c r="E7" s="46" t="str">
        <f t="shared" si="0"/>
        <v>Discontinue</v>
      </c>
      <c r="J7" s="42"/>
    </row>
    <row r="8" spans="1:10" ht="18" x14ac:dyDescent="0.35">
      <c r="A8" s="31" t="s">
        <v>16</v>
      </c>
      <c r="B8" s="35">
        <v>-96.019999999999527</v>
      </c>
      <c r="C8">
        <v>6391</v>
      </c>
      <c r="D8">
        <v>738</v>
      </c>
      <c r="E8" s="46" t="str">
        <f t="shared" si="0"/>
        <v>Discontinue</v>
      </c>
      <c r="J8" s="43"/>
    </row>
    <row r="9" spans="1:10" ht="18" x14ac:dyDescent="0.35">
      <c r="A9" s="31" t="s">
        <v>24</v>
      </c>
      <c r="B9" s="35">
        <v>5891.06</v>
      </c>
      <c r="C9">
        <v>6398</v>
      </c>
      <c r="D9">
        <v>102</v>
      </c>
      <c r="E9" s="46" t="str">
        <f t="shared" si="0"/>
        <v>Discontinue</v>
      </c>
      <c r="J9" s="43"/>
    </row>
    <row r="10" spans="1:10" x14ac:dyDescent="0.3">
      <c r="A10" s="31" t="s">
        <v>31</v>
      </c>
      <c r="B10" s="35">
        <v>7093.35</v>
      </c>
      <c r="C10">
        <v>7875</v>
      </c>
      <c r="D10">
        <v>135</v>
      </c>
      <c r="E10" s="46" t="str">
        <f t="shared" si="0"/>
        <v>Discontinue</v>
      </c>
    </row>
    <row r="11" spans="1:10" x14ac:dyDescent="0.3">
      <c r="A11" s="31" t="s">
        <v>19</v>
      </c>
      <c r="B11" s="35">
        <v>7845.48</v>
      </c>
      <c r="C11">
        <v>9702</v>
      </c>
      <c r="D11">
        <v>243</v>
      </c>
      <c r="E11" s="46" t="str">
        <f t="shared" si="0"/>
        <v>Discontinue</v>
      </c>
    </row>
    <row r="12" spans="1:10" x14ac:dyDescent="0.3">
      <c r="A12" s="31" t="s">
        <v>30</v>
      </c>
      <c r="B12" s="35">
        <v>946.88999999999942</v>
      </c>
      <c r="C12">
        <v>10206</v>
      </c>
      <c r="D12">
        <v>639</v>
      </c>
      <c r="E12" s="46" t="str">
        <f t="shared" si="0"/>
        <v>Discontinue</v>
      </c>
    </row>
    <row r="13" spans="1:10" x14ac:dyDescent="0.3">
      <c r="A13" s="31" t="s">
        <v>20</v>
      </c>
      <c r="B13" s="35">
        <v>8335.2200000000012</v>
      </c>
      <c r="C13">
        <v>10661</v>
      </c>
      <c r="D13">
        <v>219</v>
      </c>
      <c r="E13" s="46" t="str">
        <f t="shared" si="0"/>
        <v>Discontinue</v>
      </c>
    </row>
    <row r="14" spans="1:10" x14ac:dyDescent="0.3">
      <c r="A14" s="31" t="s">
        <v>22</v>
      </c>
      <c r="B14" s="35">
        <v>7582.7100000000009</v>
      </c>
      <c r="C14">
        <v>12243</v>
      </c>
      <c r="D14">
        <v>477</v>
      </c>
      <c r="E14" s="46" t="str">
        <f t="shared" si="0"/>
        <v>Discontinue</v>
      </c>
    </row>
    <row r="15" spans="1:10" x14ac:dyDescent="0.3">
      <c r="A15" s="31" t="s">
        <v>23</v>
      </c>
      <c r="B15" s="35">
        <v>10344.119999999999</v>
      </c>
      <c r="C15">
        <v>12369</v>
      </c>
      <c r="D15">
        <v>312</v>
      </c>
      <c r="E15" s="46" t="str">
        <f t="shared" si="0"/>
        <v>Discontinue</v>
      </c>
    </row>
    <row r="16" spans="1:10" x14ac:dyDescent="0.3">
      <c r="A16" s="31" t="s">
        <v>14</v>
      </c>
      <c r="B16" s="35">
        <v>9251.2999999999993</v>
      </c>
      <c r="C16">
        <v>12656</v>
      </c>
      <c r="D16">
        <v>291</v>
      </c>
      <c r="E16" s="46" t="str">
        <f t="shared" si="0"/>
        <v>Discontinue</v>
      </c>
    </row>
    <row r="17" spans="1:5" x14ac:dyDescent="0.3">
      <c r="A17" s="31" t="s">
        <v>18</v>
      </c>
      <c r="B17" s="35">
        <v>11523.2</v>
      </c>
      <c r="C17">
        <v>13076</v>
      </c>
      <c r="D17">
        <v>240</v>
      </c>
      <c r="E17" s="46" t="str">
        <f t="shared" si="0"/>
        <v>Discontinue</v>
      </c>
    </row>
    <row r="18" spans="1:5" x14ac:dyDescent="0.3">
      <c r="A18" s="31" t="s">
        <v>25</v>
      </c>
      <c r="B18" s="35">
        <v>10790.45</v>
      </c>
      <c r="C18">
        <v>13118</v>
      </c>
      <c r="D18">
        <v>177</v>
      </c>
      <c r="E18" s="46" t="str">
        <f t="shared" si="0"/>
        <v>Discontinue</v>
      </c>
    </row>
    <row r="19" spans="1:5" x14ac:dyDescent="0.3">
      <c r="A19" s="31" t="s">
        <v>15</v>
      </c>
      <c r="B19" s="35">
        <v>9731.81</v>
      </c>
      <c r="C19">
        <v>13286</v>
      </c>
      <c r="D19">
        <v>303</v>
      </c>
      <c r="E19" s="46" t="str">
        <f t="shared" si="0"/>
        <v>Discontinue</v>
      </c>
    </row>
    <row r="20" spans="1:5" x14ac:dyDescent="0.3">
      <c r="A20" s="31" t="s">
        <v>29</v>
      </c>
      <c r="B20" s="35">
        <v>9888.9599999999991</v>
      </c>
      <c r="C20">
        <v>14679</v>
      </c>
      <c r="D20">
        <v>669</v>
      </c>
      <c r="E20" s="46" t="str">
        <f t="shared" si="0"/>
        <v>Discontinue</v>
      </c>
    </row>
    <row r="21" spans="1:5" x14ac:dyDescent="0.3">
      <c r="A21" s="31" t="s">
        <v>28</v>
      </c>
      <c r="B21" s="35">
        <v>7935.9599999999991</v>
      </c>
      <c r="C21">
        <v>16842</v>
      </c>
      <c r="D21">
        <v>858</v>
      </c>
      <c r="E21" s="46" t="str">
        <f t="shared" si="0"/>
        <v>Discontinue</v>
      </c>
    </row>
    <row r="22" spans="1:5" x14ac:dyDescent="0.3">
      <c r="A22" s="31" t="s">
        <v>17</v>
      </c>
      <c r="B22" s="35">
        <v>16977.84</v>
      </c>
      <c r="C22">
        <v>18396</v>
      </c>
      <c r="D22">
        <v>456</v>
      </c>
      <c r="E22" s="46" t="str">
        <f t="shared" si="0"/>
        <v>Discontinue</v>
      </c>
    </row>
    <row r="23" spans="1:5" x14ac:dyDescent="0.3">
      <c r="A23" s="31" t="s">
        <v>26</v>
      </c>
      <c r="B23" s="35">
        <v>20928.599999999999</v>
      </c>
      <c r="C23">
        <v>23583</v>
      </c>
      <c r="D23">
        <v>474</v>
      </c>
      <c r="E23" s="46" t="str">
        <f t="shared" si="0"/>
        <v>Discontinue</v>
      </c>
    </row>
    <row r="24" spans="1:5" x14ac:dyDescent="0.3">
      <c r="E24" s="46" t="str">
        <f t="shared" si="0"/>
        <v>Discontinue</v>
      </c>
    </row>
    <row r="25" spans="1:5" x14ac:dyDescent="0.3">
      <c r="E25" s="46" t="str">
        <f t="shared" si="0"/>
        <v>Keep</v>
      </c>
    </row>
    <row r="26" spans="1:5" x14ac:dyDescent="0.3">
      <c r="E26" s="46"/>
    </row>
  </sheetData>
  <mergeCells count="1">
    <mergeCell ref="A1:G1"/>
  </mergeCells>
  <conditionalFormatting pivot="1" sqref="B4:B23">
    <cfRule type="colorScale" priority="2">
      <colorScale>
        <cfvo type="min"/>
        <cfvo type="percentile" val="50"/>
        <cfvo type="max"/>
        <color rgb="FFF8696B"/>
        <color rgb="FFFCFCFF"/>
        <color rgb="FF5A8AC6"/>
      </colorScale>
    </cfRule>
  </conditionalFormatting>
  <conditionalFormatting pivot="1" sqref="B4:B23">
    <cfRule type="colorScale" priority="1">
      <colorScale>
        <cfvo type="num" val="5000"/>
        <cfvo type="num" val="20000"/>
        <color rgb="FFF8696B"/>
        <color rgb="FFFCFCFF"/>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91C9-9406-4C9F-9BD4-E88DB05125A6}">
  <dimension ref="A1:T18"/>
  <sheetViews>
    <sheetView zoomScaleNormal="100" workbookViewId="0">
      <selection activeCell="V13" sqref="V13"/>
    </sheetView>
  </sheetViews>
  <sheetFormatPr defaultRowHeight="14.4" x14ac:dyDescent="0.3"/>
  <cols>
    <col min="1" max="1" width="15.109375" bestFit="1" customWidth="1"/>
    <col min="2" max="2" width="11.77734375" bestFit="1" customWidth="1"/>
    <col min="4" max="4" width="12.5546875" bestFit="1" customWidth="1"/>
    <col min="5" max="5" width="15" bestFit="1" customWidth="1"/>
    <col min="6" max="6" width="12.5546875" bestFit="1" customWidth="1"/>
    <col min="7" max="7" width="19.109375" bestFit="1" customWidth="1"/>
    <col min="8" max="8" width="15.5546875" bestFit="1" customWidth="1"/>
    <col min="9" max="9" width="8.21875" bestFit="1" customWidth="1"/>
    <col min="10" max="10" width="11.88671875" bestFit="1" customWidth="1"/>
    <col min="11" max="11" width="7.21875" bestFit="1" customWidth="1"/>
    <col min="12" max="12" width="8.21875" bestFit="1" customWidth="1"/>
    <col min="13" max="13" width="11.77734375" bestFit="1" customWidth="1"/>
    <col min="14" max="14" width="14.44140625" bestFit="1" customWidth="1"/>
    <col min="15" max="15" width="5.21875" bestFit="1" customWidth="1"/>
    <col min="16" max="16" width="11.88671875" bestFit="1" customWidth="1"/>
    <col min="17" max="17" width="3.44140625" bestFit="1" customWidth="1"/>
    <col min="18" max="18" width="4.5546875" bestFit="1" customWidth="1"/>
    <col min="19" max="19" width="19.21875" bestFit="1" customWidth="1"/>
    <col min="20" max="21" width="23" bestFit="1" customWidth="1"/>
  </cols>
  <sheetData>
    <row r="1" spans="1:20" x14ac:dyDescent="0.3">
      <c r="A1" s="30" t="s">
        <v>87</v>
      </c>
      <c r="B1" t="s">
        <v>71</v>
      </c>
      <c r="D1" s="30" t="s">
        <v>68</v>
      </c>
      <c r="E1" t="s">
        <v>88</v>
      </c>
      <c r="G1" s="30" t="s">
        <v>68</v>
      </c>
      <c r="H1" t="s">
        <v>89</v>
      </c>
      <c r="J1" s="30" t="s">
        <v>68</v>
      </c>
      <c r="K1" t="s">
        <v>79</v>
      </c>
      <c r="M1" t="s">
        <v>71</v>
      </c>
      <c r="N1" t="s">
        <v>70</v>
      </c>
    </row>
    <row r="2" spans="1:20" x14ac:dyDescent="0.3">
      <c r="A2" s="31" t="s">
        <v>2</v>
      </c>
      <c r="B2" s="5">
        <v>4110</v>
      </c>
      <c r="D2" s="31" t="s">
        <v>38</v>
      </c>
      <c r="E2" s="47">
        <v>0.8947037650688453</v>
      </c>
      <c r="G2" s="31" t="s">
        <v>30</v>
      </c>
      <c r="H2" s="81">
        <v>16</v>
      </c>
      <c r="J2" s="31" t="s">
        <v>38</v>
      </c>
      <c r="K2" s="47">
        <v>0.13479650709272512</v>
      </c>
      <c r="M2" s="5">
        <v>45660</v>
      </c>
      <c r="N2" s="4">
        <v>1240869</v>
      </c>
    </row>
    <row r="3" spans="1:20" x14ac:dyDescent="0.3">
      <c r="A3" s="31" t="s">
        <v>8</v>
      </c>
      <c r="B3" s="5">
        <v>4704</v>
      </c>
      <c r="D3" s="31" t="s">
        <v>36</v>
      </c>
      <c r="E3" s="47">
        <v>0.95952693823915902</v>
      </c>
      <c r="G3" s="31" t="s">
        <v>22</v>
      </c>
      <c r="H3" s="81">
        <v>16</v>
      </c>
      <c r="J3" s="31" t="s">
        <v>36</v>
      </c>
      <c r="K3" s="47">
        <v>0.21179669957485803</v>
      </c>
    </row>
    <row r="4" spans="1:20" x14ac:dyDescent="0.3">
      <c r="A4" s="31" t="s">
        <v>41</v>
      </c>
      <c r="B4" s="5">
        <v>3867</v>
      </c>
      <c r="D4" s="31" t="s">
        <v>34</v>
      </c>
      <c r="E4" s="47">
        <v>0.99234219946531343</v>
      </c>
      <c r="G4" s="31" t="s">
        <v>26</v>
      </c>
      <c r="H4" s="81">
        <v>17</v>
      </c>
      <c r="J4" s="31" t="s">
        <v>34</v>
      </c>
      <c r="K4" s="47">
        <v>0.21442217533967742</v>
      </c>
      <c r="M4" s="30" t="s">
        <v>68</v>
      </c>
      <c r="N4" t="s">
        <v>70</v>
      </c>
    </row>
    <row r="5" spans="1:20" x14ac:dyDescent="0.3">
      <c r="A5" s="31" t="s">
        <v>7</v>
      </c>
      <c r="B5" s="5">
        <v>5295</v>
      </c>
      <c r="D5" s="31" t="s">
        <v>37</v>
      </c>
      <c r="E5" s="47">
        <v>0.92120596037983804</v>
      </c>
      <c r="G5" s="31" t="s">
        <v>28</v>
      </c>
      <c r="H5" s="81">
        <v>15</v>
      </c>
      <c r="J5" s="31" t="s">
        <v>37</v>
      </c>
      <c r="K5" s="47">
        <v>0.18709003699074475</v>
      </c>
      <c r="M5" s="31" t="s">
        <v>38</v>
      </c>
      <c r="N5" s="47">
        <v>0.13593618665628684</v>
      </c>
    </row>
    <row r="6" spans="1:20" x14ac:dyDescent="0.3">
      <c r="A6" s="31" t="s">
        <v>6</v>
      </c>
      <c r="B6" s="5">
        <v>5925</v>
      </c>
      <c r="D6" s="31" t="s">
        <v>39</v>
      </c>
      <c r="E6" s="47">
        <v>0.94365965834428389</v>
      </c>
      <c r="G6" s="31" t="s">
        <v>17</v>
      </c>
      <c r="H6" s="81">
        <v>17</v>
      </c>
      <c r="J6" s="31" t="s">
        <v>39</v>
      </c>
      <c r="K6" s="47">
        <v>0.1492719099019357</v>
      </c>
      <c r="M6" s="31" t="s">
        <v>36</v>
      </c>
      <c r="N6" s="47">
        <v>0.19175593878161193</v>
      </c>
    </row>
    <row r="7" spans="1:20" x14ac:dyDescent="0.3">
      <c r="A7" s="31" t="s">
        <v>5</v>
      </c>
      <c r="B7" s="5">
        <v>3669</v>
      </c>
      <c r="D7" s="31" t="s">
        <v>35</v>
      </c>
      <c r="E7" s="47">
        <v>1.2592666055091366</v>
      </c>
      <c r="G7" s="31" t="s">
        <v>23</v>
      </c>
      <c r="H7" s="81">
        <v>15</v>
      </c>
      <c r="J7" s="31" t="s">
        <v>35</v>
      </c>
      <c r="K7" s="47">
        <v>0.10262267110005906</v>
      </c>
      <c r="M7" s="31" t="s">
        <v>34</v>
      </c>
      <c r="N7" s="47">
        <v>0.20346144516463865</v>
      </c>
    </row>
    <row r="8" spans="1:20" x14ac:dyDescent="0.3">
      <c r="A8" s="31" t="s">
        <v>3</v>
      </c>
      <c r="B8" s="5">
        <v>5007</v>
      </c>
      <c r="D8" s="31" t="s">
        <v>69</v>
      </c>
      <c r="E8" s="47">
        <v>1</v>
      </c>
      <c r="G8" s="31" t="s">
        <v>29</v>
      </c>
      <c r="H8" s="81">
        <v>17</v>
      </c>
      <c r="J8" s="31" t="s">
        <v>69</v>
      </c>
      <c r="K8" s="47">
        <v>1</v>
      </c>
      <c r="M8" s="31" t="s">
        <v>37</v>
      </c>
      <c r="N8" s="47">
        <v>0.17633851760338923</v>
      </c>
    </row>
    <row r="9" spans="1:20" x14ac:dyDescent="0.3">
      <c r="A9" s="31" t="s">
        <v>9</v>
      </c>
      <c r="B9" s="5">
        <v>4554</v>
      </c>
      <c r="G9" s="31" t="s">
        <v>16</v>
      </c>
      <c r="H9" s="81">
        <v>15</v>
      </c>
      <c r="M9" s="31" t="s">
        <v>39</v>
      </c>
      <c r="N9" s="47">
        <v>0.13984554372782301</v>
      </c>
    </row>
    <row r="10" spans="1:20" x14ac:dyDescent="0.3">
      <c r="A10" s="31" t="s">
        <v>10</v>
      </c>
      <c r="B10" s="5">
        <v>3843</v>
      </c>
      <c r="G10" s="31" t="s">
        <v>27</v>
      </c>
      <c r="H10" s="81">
        <v>18</v>
      </c>
      <c r="M10" s="31" t="s">
        <v>35</v>
      </c>
      <c r="N10" s="47">
        <v>0.15266236806625036</v>
      </c>
    </row>
    <row r="11" spans="1:20" x14ac:dyDescent="0.3">
      <c r="A11" s="31" t="s">
        <v>40</v>
      </c>
      <c r="B11" s="5">
        <v>4686</v>
      </c>
      <c r="G11" s="31" t="s">
        <v>25</v>
      </c>
      <c r="H11" s="81">
        <v>17</v>
      </c>
      <c r="M11" s="31" t="s">
        <v>69</v>
      </c>
      <c r="N11" s="47">
        <v>1</v>
      </c>
    </row>
    <row r="12" spans="1:20" x14ac:dyDescent="0.3">
      <c r="A12" s="31" t="s">
        <v>69</v>
      </c>
      <c r="B12" s="5">
        <v>45660</v>
      </c>
      <c r="G12" s="31" t="s">
        <v>69</v>
      </c>
      <c r="H12" s="81">
        <v>163</v>
      </c>
    </row>
    <row r="14" spans="1:20" x14ac:dyDescent="0.3">
      <c r="G14" s="30" t="s">
        <v>91</v>
      </c>
    </row>
    <row r="15" spans="1:20" x14ac:dyDescent="0.3">
      <c r="G15" t="s">
        <v>70</v>
      </c>
      <c r="M15" t="s">
        <v>90</v>
      </c>
      <c r="S15" t="s">
        <v>92</v>
      </c>
      <c r="T15" t="s">
        <v>93</v>
      </c>
    </row>
    <row r="16" spans="1:20" x14ac:dyDescent="0.3">
      <c r="F16" s="30" t="s">
        <v>68</v>
      </c>
      <c r="G16" t="s">
        <v>38</v>
      </c>
      <c r="H16" t="s">
        <v>36</v>
      </c>
      <c r="I16" t="s">
        <v>34</v>
      </c>
      <c r="J16" t="s">
        <v>37</v>
      </c>
      <c r="K16" t="s">
        <v>39</v>
      </c>
      <c r="L16" t="s">
        <v>35</v>
      </c>
      <c r="M16" t="s">
        <v>38</v>
      </c>
      <c r="N16" t="s">
        <v>36</v>
      </c>
      <c r="O16" t="s">
        <v>34</v>
      </c>
      <c r="P16" t="s">
        <v>37</v>
      </c>
      <c r="Q16" t="s">
        <v>39</v>
      </c>
      <c r="R16" t="s">
        <v>35</v>
      </c>
    </row>
    <row r="17" spans="6:20" x14ac:dyDescent="0.3">
      <c r="F17" s="31" t="s">
        <v>41</v>
      </c>
      <c r="G17" s="4">
        <v>6069</v>
      </c>
      <c r="H17" s="4">
        <v>39242</v>
      </c>
      <c r="I17" s="4">
        <v>15855</v>
      </c>
      <c r="J17" s="4">
        <v>17283</v>
      </c>
      <c r="K17" s="4">
        <v>3976</v>
      </c>
      <c r="L17" s="4">
        <v>15785</v>
      </c>
      <c r="M17" s="81">
        <v>2</v>
      </c>
      <c r="N17" s="81">
        <v>7</v>
      </c>
      <c r="O17" s="81">
        <v>5</v>
      </c>
      <c r="P17" s="81">
        <v>6</v>
      </c>
      <c r="Q17" s="81">
        <v>1</v>
      </c>
      <c r="R17" s="81">
        <v>5</v>
      </c>
      <c r="S17" s="4">
        <v>98210</v>
      </c>
      <c r="T17" s="81">
        <v>26</v>
      </c>
    </row>
    <row r="18" spans="6:20" x14ac:dyDescent="0.3">
      <c r="F18" s="31" t="s">
        <v>69</v>
      </c>
      <c r="G18" s="4">
        <v>6069</v>
      </c>
      <c r="H18" s="4">
        <v>39242</v>
      </c>
      <c r="I18" s="4">
        <v>15855</v>
      </c>
      <c r="J18" s="4">
        <v>17283</v>
      </c>
      <c r="K18" s="4">
        <v>3976</v>
      </c>
      <c r="L18" s="4">
        <v>15785</v>
      </c>
      <c r="M18" s="81">
        <v>2</v>
      </c>
      <c r="N18" s="81">
        <v>7</v>
      </c>
      <c r="O18" s="81">
        <v>5</v>
      </c>
      <c r="P18" s="81">
        <v>6</v>
      </c>
      <c r="Q18" s="81">
        <v>1</v>
      </c>
      <c r="R18" s="81">
        <v>5</v>
      </c>
      <c r="S18" s="4">
        <v>98210</v>
      </c>
      <c r="T18" s="81">
        <v>26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B31F-E552-4D8C-BE2B-FA1FCFA6A9A4}">
  <dimension ref="A1"/>
  <sheetViews>
    <sheetView showGridLines="0" tabSelected="1" workbookViewId="0">
      <selection activeCell="V13" sqref="V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Q8</vt:lpstr>
      <vt:lpstr>Q9</vt:lpstr>
      <vt:lpstr>Q7</vt:lpstr>
      <vt:lpstr>Q6</vt:lpstr>
      <vt:lpstr>Q3</vt:lpstr>
      <vt:lpstr>Q2</vt:lpstr>
      <vt:lpstr>Q1</vt:lpstr>
      <vt:lpstr>Q4</vt:lpstr>
      <vt:lpstr>Q5</vt:lpstr>
      <vt:lpstr>Q10</vt:lpstr>
      <vt:lpstr>Pivote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RASIKA DESHMUKH</cp:lastModifiedBy>
  <dcterms:created xsi:type="dcterms:W3CDTF">2021-03-14T20:21:32Z</dcterms:created>
  <dcterms:modified xsi:type="dcterms:W3CDTF">2026-03-31T12:17:46Z</dcterms:modified>
</cp:coreProperties>
</file>